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Total" sheetId="1" r:id="rId4"/>
    <sheet state="visible" name="Aporte Participantes Programa" sheetId="2" r:id="rId5"/>
    <sheet state="visible" name="Detalle Personal Preexistente" sheetId="3" r:id="rId6"/>
    <sheet state="visible" name="Detalle Inversiones" sheetId="4" r:id="rId7"/>
    <sheet state="visible" name="Presupuesto por Fuente" sheetId="5" r:id="rId8"/>
    <sheet state="visible" name="Carta Gantt" sheetId="6" r:id="rId9"/>
    <sheet state="visible" name="Detalle Presupuesto por Cuenta" sheetId="7" r:id="rId10"/>
  </sheets>
  <definedNames>
    <definedName name="Participante">'Aporte Participantes Programa'!#REF!</definedName>
  </definedNames>
  <calcPr/>
  <extLst>
    <ext uri="GoogleSheetsCustomDataVersion2">
      <go:sheetsCustomData xmlns:go="http://customooxmlschemas.google.com/" r:id="rId11" roundtripDataChecksum="v2ob4vJN1Pp8w1bLB2w2C20iTV0tnTRMBT0bynXEx70="/>
    </ext>
  </extLst>
</workbook>
</file>

<file path=xl/sharedStrings.xml><?xml version="1.0" encoding="utf-8"?>
<sst xmlns="http://schemas.openxmlformats.org/spreadsheetml/2006/main" count="264" uniqueCount="167">
  <si>
    <t>PROGRAMA TECNOLÓGICO BITÁCORA: LÍNEA DE VIDA DE UN ACTIVO INMOBILIARIO</t>
  </si>
  <si>
    <t>PROGRAMAS TECNOLÓGICOS - DETALLES PERSONAL PREEXISTENTE</t>
  </si>
  <si>
    <t>PROGRAMAS TECNOLÓGICOS - PRESUPUESTO TOTAL</t>
  </si>
  <si>
    <t>PROGRAMAS TECNOLÓGICOS - APORTE DE PARTICIPANTES</t>
  </si>
  <si>
    <t>PROGRAMAS TECNOLÓGICOS - DESCRIPCIÓN INVERSIONES POR PROYECTO (Considere la descripción establecida en el numeral 11 de las Bases Técnicas y subnumeral 4.6 de las Bases Administrativas Generales)</t>
  </si>
  <si>
    <t>N°</t>
  </si>
  <si>
    <t>NOMBRE</t>
  </si>
  <si>
    <t>DETALLE DEL APORTE AL PROGRAMA ($)</t>
  </si>
  <si>
    <t>FUNCIÓN</t>
  </si>
  <si>
    <t>SUBSIDIO TOTAL CORFO ($)</t>
  </si>
  <si>
    <t>NOMBRE ENTIDAD A LA QUE PERTENECE</t>
  </si>
  <si>
    <t>SUBSIDIO CORFO $</t>
  </si>
  <si>
    <t>APORTES PARTICIPANTES DEL PROGRAMA</t>
  </si>
  <si>
    <t>APORTE PROGRAMA TECNOLÓGICO</t>
  </si>
  <si>
    <t>COSTO TOTAL PROGRAMA ($)</t>
  </si>
  <si>
    <t>RECURSOS HUMANOS ($)</t>
  </si>
  <si>
    <t>MES INICIO</t>
  </si>
  <si>
    <t>NOMBRE PROYECTO</t>
  </si>
  <si>
    <t>GASTOS OPERACIÓN ($)</t>
  </si>
  <si>
    <t>MES TÉRMINO</t>
  </si>
  <si>
    <t>GASTOS INVERSIÓN ($)</t>
  </si>
  <si>
    <t>NOMBRE INVERSIÓN</t>
  </si>
  <si>
    <t>JUSTIFICACIÓN</t>
  </si>
  <si>
    <t>N°  PROYECTO</t>
  </si>
  <si>
    <t>SUBSIDIO CORFO ($)</t>
  </si>
  <si>
    <t>GASTOS ADMINISTRACIÓN ($)</t>
  </si>
  <si>
    <t>APORTE PROGRAMA TECNOLÓGICO ($)</t>
  </si>
  <si>
    <t>TOTAL</t>
  </si>
  <si>
    <t>NOMBRE CORTO DEL PROYECTO</t>
  </si>
  <si>
    <t>TOTAL PROGRAMA ($)</t>
  </si>
  <si>
    <t>MES DE COMPRA</t>
  </si>
  <si>
    <t>OPERACIÓN           ($)</t>
  </si>
  <si>
    <t>ROL PARTICIPACIÓN PROGRAMA (Beneficiario, Coejecutor, Asociado, Interesdo)</t>
  </si>
  <si>
    <t>INVERSIÓN             ($)</t>
  </si>
  <si>
    <t>Pecuniario $</t>
  </si>
  <si>
    <t>ADMINISTRACIÓN ($)</t>
  </si>
  <si>
    <t>NOMBRE ENTIDAD</t>
  </si>
  <si>
    <t>P1 · Evaluación del activo y búsqueda de terreno con IA (piloto DS49)</t>
  </si>
  <si>
    <t>SUBSIDIO TOTAL</t>
  </si>
  <si>
    <t>Valorizado $</t>
  </si>
  <si>
    <t>Computadores y servidores con capacidades de trabajar con IA</t>
  </si>
  <si>
    <t>PROYECTO(S) EN EL CUAL APORTA LA ENTIDAD</t>
  </si>
  <si>
    <t>PECUNIARIO</t>
  </si>
  <si>
    <t>Procesamiento de datos territoriales y entrenamiento de los modelos del índice de terreno</t>
  </si>
  <si>
    <t>VALORIZADO</t>
  </si>
  <si>
    <t>OPERACIÓN ($)</t>
  </si>
  <si>
    <t>Carmen Gloria Zúñiga de Kartzow</t>
  </si>
  <si>
    <t>Directora del Programa</t>
  </si>
  <si>
    <t>DTE Consulting &amp; Development SpA</t>
  </si>
  <si>
    <t>INVERSIÓN ($)</t>
  </si>
  <si>
    <t>APORTE TOTAL ($)</t>
  </si>
  <si>
    <t>Beneficiario</t>
  </si>
  <si>
    <t>P0, P1, P2, P3, P4</t>
  </si>
  <si>
    <t>Andrés Salgado Henríquez</t>
  </si>
  <si>
    <t>Coordinación del portafolio</t>
  </si>
  <si>
    <t>APORTE PECUNIARIO ($)</t>
  </si>
  <si>
    <t>Mauricio Pruzzo Gárate</t>
  </si>
  <si>
    <t>Especialista normativo y territorial</t>
  </si>
  <si>
    <t>P2 · Desarrollo y optimización del proyecto (CAPEX, OPEX y plazos)</t>
  </si>
  <si>
    <t>Equipamiento y licencias capitalizables de modelación BIM</t>
  </si>
  <si>
    <t>Modelación de alternativas de proyecto y cálculo de costos de ciclo de vida</t>
  </si>
  <si>
    <t>Nicolás Caro Zúñiga</t>
  </si>
  <si>
    <t xml:space="preserve">Coordinación de producto y difusión </t>
  </si>
  <si>
    <t>P0</t>
  </si>
  <si>
    <t>Gestión y administración del Programa (OBLIGATORIO)</t>
  </si>
  <si>
    <t>Ariel Ahoner Sáez Caamaño</t>
  </si>
  <si>
    <t xml:space="preserve">Líder técnico de inteligencia artificial </t>
  </si>
  <si>
    <t>Impulso Estratégico CX SpA</t>
  </si>
  <si>
    <t>Coejecutor 1</t>
  </si>
  <si>
    <t>P3 · Integración de especialistas en obra ("Zapatilla")</t>
  </si>
  <si>
    <t>Equipamiento de captura en obra (tabletas robustas y sensores)</t>
  </si>
  <si>
    <t>Registro en terreno de avance, calidad y seguridad para los cuatro índices de obra</t>
  </si>
  <si>
    <t xml:space="preserve">Impulso Estratégico CX SpA </t>
  </si>
  <si>
    <t>P1</t>
  </si>
  <si>
    <t>P4 · Mantenimiento predictivo y línea de vida del activo</t>
  </si>
  <si>
    <t>Infraestructura de datos para operación y mantenimiento</t>
  </si>
  <si>
    <t>Histórico del activo, garantías y predicción de mantenciones durante la operación</t>
  </si>
  <si>
    <t>Federico Orduz</t>
  </si>
  <si>
    <t>Equipo técnico de desarrollo de IA y know-how aplicado al producto conjunto (P1)</t>
  </si>
  <si>
    <t>Coejecutor 2</t>
  </si>
  <si>
    <t xml:space="preserve">In-Data · </t>
  </si>
  <si>
    <t>Mauricio Chamorro</t>
  </si>
  <si>
    <t>Coejecutor 3</t>
  </si>
  <si>
    <t xml:space="preserve">Geister · </t>
  </si>
  <si>
    <t>P2</t>
  </si>
  <si>
    <t>Evaluación del activo y búsqueda de terreno con IA (piloto DS49)</t>
  </si>
  <si>
    <t>Coejecutor 4</t>
  </si>
  <si>
    <t xml:space="preserve">ONDAC · </t>
  </si>
  <si>
    <t>P3</t>
  </si>
  <si>
    <t>Cristobal Campora</t>
  </si>
  <si>
    <t>Equipo de programación y análisis de big data inmobiliario (P1)</t>
  </si>
  <si>
    <t>In-Data</t>
  </si>
  <si>
    <t>Coejecutor 5</t>
  </si>
  <si>
    <t xml:space="preserve">Calidad Cloud · </t>
  </si>
  <si>
    <t>P4</t>
  </si>
  <si>
    <t>Asociado 1</t>
  </si>
  <si>
    <t>ANRI A.G. (Asociación Nacional de Revisores Independientes de Arquitectura)</t>
  </si>
  <si>
    <t>Desarrollo y optimización del proyecto (CAPEX, OPEX y plazos)</t>
  </si>
  <si>
    <t>Daniel Minaya</t>
  </si>
  <si>
    <t>Asociado 2</t>
  </si>
  <si>
    <t>Molina Matta &amp; Asociados</t>
  </si>
  <si>
    <t>Integración de especialistas en obra ("Zapatilla")</t>
  </si>
  <si>
    <t>Mantenimiento predictivo y línea de vida del activo</t>
  </si>
  <si>
    <t>Nicolás Geister</t>
  </si>
  <si>
    <t xml:space="preserve">Equipo BIM y coordinación de especialidades </t>
  </si>
  <si>
    <t>Geister</t>
  </si>
  <si>
    <t>Antonia Jimenez</t>
  </si>
  <si>
    <t>Carlos Herrera</t>
  </si>
  <si>
    <t>Equipo de precios, presupuestos y programa de compras (P2, P3 y P4)</t>
  </si>
  <si>
    <t>ONDAC</t>
  </si>
  <si>
    <t>Carlos Zambrano</t>
  </si>
  <si>
    <t>Ricardo León</t>
  </si>
  <si>
    <t>Equipo de facility management y normalización de protocolos (P3 y P4)</t>
  </si>
  <si>
    <t>Calidad Cloud</t>
  </si>
  <si>
    <t xml:space="preserve">TOTAL </t>
  </si>
  <si>
    <t>TOTAL PROGRAMA</t>
  </si>
  <si>
    <t>Franze Fahrenkrog</t>
  </si>
  <si>
    <t>Refiérase a la descripción establecida en las bases técnicas, en el subnumeral 7.1 Actividades y gastos generales del proyecto a) equipo de trabajo del programa</t>
  </si>
  <si>
    <t xml:space="preserve">a) Equipo de trabajo del Programa, cuya participación sea necesaria y esté directamente vinculada a la ejecución del mismo, el cual deberá presupuestarse en la cuenta “Recursos Humanos”. </t>
  </si>
  <si>
    <t xml:space="preserve"> - Con recursos del subsidio, se podrá financiar las remuneraciones y/u honorarios del personal nuevo y/o preexistente del beneficiario y/o coejecutor(es).
    No se establecen topes de subsidio para financiar al personal nuevo, no obstante, sólo se podrá destinar como máximo hasta un 25.00% del mismo al personal preexistente.
    Se entiende por personal preexistente el que esté contratado por el participante al momento de la postulación.</t>
  </si>
  <si>
    <t xml:space="preserve"> - Con aportes del beneficiario, coejecutor y/o asociados, se podrán financiar las remuneraciones y/u honorarios de personal nuevo y/o prexistente de los mismos (este último    caso aplica sólo cuando en el llamado se permitan aportes “preexistentes” o “valorados”).</t>
  </si>
  <si>
    <t>PROGRAMAS TECNOLÓGICOS - PRESUPUESTO TOTAL POR FUENTE DE FINANCIAMIENTO</t>
  </si>
  <si>
    <t>N° DE PROYECTO</t>
  </si>
  <si>
    <t>SUBSIDIO TOTAL CORFO</t>
  </si>
  <si>
    <t>BENEFICIARIA</t>
  </si>
  <si>
    <t xml:space="preserve">COEJECUTOR 1 </t>
  </si>
  <si>
    <t>COEJECUTOR 2</t>
  </si>
  <si>
    <t>COEJECUTOR 3</t>
  </si>
  <si>
    <t>COEJECUTOR 4</t>
  </si>
  <si>
    <t>COEJECUTOR 5</t>
  </si>
  <si>
    <t>ASOCIADO 1</t>
  </si>
  <si>
    <t>ASOCIADO 2</t>
  </si>
  <si>
    <t>APORTE NO PECUNIARIO ($)</t>
  </si>
  <si>
    <t>PROGRAMAS TECNOLÓGICOS - CARTA GANTT (Debe incluir Proyecto de Gestión y Administración)</t>
  </si>
  <si>
    <t>N° Proyecto</t>
  </si>
  <si>
    <t>Nombre del proyecto</t>
  </si>
  <si>
    <t>AÑO 1</t>
  </si>
  <si>
    <t>AÑO 2</t>
  </si>
  <si>
    <t>AÑO 3</t>
  </si>
  <si>
    <t>AÑO 4</t>
  </si>
  <si>
    <t>AÑO 5</t>
  </si>
  <si>
    <t>PROGRAMAS TECNOLÓGICOS - DETALLE PRESUPUESTO POR CUENTAS</t>
  </si>
  <si>
    <t>TOTAL PROGRAMA (S)</t>
  </si>
  <si>
    <t>RECURSOS HUMANOS ($) (Sólo se podrá destinar como máximo hasta un 25,00% del subsidio a personal preexistente, de acuerdo al Subnumeral 7.1  de las bases técnica)</t>
  </si>
  <si>
    <t>Profesionales (Nuevos y Preexistentes)</t>
  </si>
  <si>
    <t>Técnicos (Nuevos y Preexistentes)</t>
  </si>
  <si>
    <t>Otros (Nuevos y Preexistentes)</t>
  </si>
  <si>
    <t>GASTOS DE OPERACIÓN ($)</t>
  </si>
  <si>
    <t>Estudios o similares</t>
  </si>
  <si>
    <t>Insumos varios</t>
  </si>
  <si>
    <t>Analisis de laboratorio</t>
  </si>
  <si>
    <t>Adecuación/Mantención Infraestructura (no inversión)</t>
  </si>
  <si>
    <t>Viáticos, Movilización, traslado matriales y logística</t>
  </si>
  <si>
    <t xml:space="preserve">Comunicación y difusión </t>
  </si>
  <si>
    <t>Uso de equipamiento e infraestrutura para desarrollo del proyecto)</t>
  </si>
  <si>
    <t>Materias primas para pruebas pilotos</t>
  </si>
  <si>
    <t>Asesoria legal, contratos protección de Pi, actividades afines</t>
  </si>
  <si>
    <t>Estudios de impacto ambiental</t>
  </si>
  <si>
    <t>Certificaciones y regulaciones</t>
  </si>
  <si>
    <t>Otros</t>
  </si>
  <si>
    <t>INVERSIÓN ($) (No puede superar el 30,00% del subsidio solicitado, de acuerdo al numeral 11 de las Bases del Instrumento. Aspectos Presupuestarios de las Bases Técnicas)</t>
  </si>
  <si>
    <t>Equipamiento</t>
  </si>
  <si>
    <t xml:space="preserve">Infraestructura </t>
  </si>
  <si>
    <t>ADMINISTRACIÓN ($) (Se podrá destinar como máximo hasta un 10% del subsidio a este tipo de gastos, de acuerdo al numeral 11 de las Bases del Instrumento. Aspectos Presupuestarios de las Bases Técnicas)</t>
  </si>
  <si>
    <t>Servicios básicos</t>
  </si>
  <si>
    <t>Servicios de Contabilidad</t>
  </si>
  <si>
    <t>Personal Administrativo de apoyo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</si>
</sst>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_ ;_ @_ "/>
    <numFmt numFmtId="165" formatCode="&quot;$&quot;#,##0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sz val="11.0"/>
      <color rgb="FFE36C09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8.0"/>
      <color theme="1"/>
      <name val="Calibri"/>
    </font>
    <font>
      <sz val="9.0"/>
      <color theme="0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B2A1C7"/>
        <bgColor rgb="FFB2A1C7"/>
      </patternFill>
    </fill>
    <fill>
      <patternFill patternType="solid">
        <fgColor rgb="FFEAF1DD"/>
        <bgColor rgb="FFEAF1DD"/>
      </patternFill>
    </fill>
    <fill>
      <patternFill patternType="solid">
        <fgColor rgb="FFC6D9F1"/>
        <bgColor rgb="FFC6D9F1"/>
      </patternFill>
    </fill>
    <fill>
      <patternFill patternType="solid">
        <fgColor theme="6"/>
        <bgColor theme="6"/>
      </patternFill>
    </fill>
    <fill>
      <patternFill patternType="solid">
        <fgColor rgb="FFE5DFEC"/>
        <bgColor rgb="FFE5DFEC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</fills>
  <borders count="10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bottom/>
    </border>
    <border>
      <left/>
      <right style="medium">
        <color rgb="FF000000"/>
      </right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2" numFmtId="0" xfId="0" applyAlignment="1" applyBorder="1" applyFill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5" fillId="0" fontId="4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vertical="center"/>
    </xf>
    <xf borderId="6" fillId="0" fontId="4" numFmtId="0" xfId="0" applyAlignment="1" applyBorder="1" applyFont="1">
      <alignment horizontal="center" vertical="center"/>
    </xf>
    <xf borderId="7" fillId="3" fontId="5" numFmtId="0" xfId="0" applyAlignment="1" applyBorder="1" applyFill="1" applyFont="1">
      <alignment horizontal="center" vertical="top"/>
    </xf>
    <xf borderId="8" fillId="4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7" fillId="4" fontId="5" numFmtId="0" xfId="0" applyAlignment="1" applyBorder="1" applyFill="1" applyFont="1">
      <alignment horizontal="center" shrinkToFit="0" vertical="top" wrapText="1"/>
    </xf>
    <xf borderId="5" fillId="3" fontId="4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7" fillId="4" fontId="4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top" wrapText="1"/>
    </xf>
    <xf borderId="8" fillId="4" fontId="4" numFmtId="0" xfId="0" applyAlignment="1" applyBorder="1" applyFill="1" applyFont="1">
      <alignment horizontal="center" shrinkToFit="0" vertical="center" wrapText="1"/>
    </xf>
    <xf borderId="13" fillId="6" fontId="4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5" fillId="7" fontId="4" numFmtId="0" xfId="0" applyAlignment="1" applyBorder="1" applyFill="1" applyFont="1">
      <alignment horizontal="center" shrinkToFit="0" vertical="top" wrapText="1"/>
    </xf>
    <xf borderId="5" fillId="7" fontId="4" numFmtId="0" xfId="0" applyAlignment="1" applyBorder="1" applyFill="1" applyFont="1">
      <alignment horizontal="center" shrinkToFit="0" vertical="top" wrapText="1"/>
    </xf>
    <xf borderId="16" fillId="6" fontId="4" numFmtId="0" xfId="0" applyAlignment="1" applyBorder="1" applyFill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vertical="center"/>
    </xf>
    <xf borderId="18" fillId="3" fontId="4" numFmtId="0" xfId="0" applyAlignment="1" applyBorder="1" applyFill="1" applyFont="1">
      <alignment horizontal="center" shrinkToFit="0" vertical="center" wrapText="1"/>
    </xf>
    <xf borderId="15" fillId="2" fontId="7" numFmtId="0" xfId="0" applyAlignment="1" applyBorder="1" applyFill="1" applyFont="1">
      <alignment horizontal="center" shrinkToFit="0" vertical="top" wrapText="1"/>
    </xf>
    <xf borderId="16" fillId="4" fontId="4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18" fillId="5" fontId="4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top" wrapText="1"/>
    </xf>
    <xf borderId="19" fillId="4" fontId="5" numFmtId="0" xfId="0" applyAlignment="1" applyBorder="1" applyFill="1" applyFont="1">
      <alignment horizontal="center" vertical="center"/>
    </xf>
    <xf borderId="16" fillId="8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top" wrapText="1"/>
    </xf>
    <xf borderId="20" fillId="0" fontId="3" numFmtId="0" xfId="0" applyBorder="1" applyFont="1"/>
    <xf borderId="21" fillId="3" fontId="4" numFmtId="0" xfId="0" applyAlignment="1" applyBorder="1" applyFill="1" applyFont="1">
      <alignment horizontal="center" shrinkToFit="0" vertical="top" wrapText="1"/>
    </xf>
    <xf borderId="22" fillId="0" fontId="3" numFmtId="0" xfId="0" applyBorder="1" applyFont="1"/>
    <xf borderId="16" fillId="2" fontId="7" numFmtId="0" xfId="0" applyAlignment="1" applyBorder="1" applyFill="1" applyFont="1">
      <alignment horizontal="center" shrinkToFit="0" vertical="center" wrapText="1"/>
    </xf>
    <xf borderId="23" fillId="0" fontId="5" numFmtId="0" xfId="0" applyAlignment="1" applyBorder="1" applyFont="1">
      <alignment horizontal="center"/>
    </xf>
    <xf borderId="13" fillId="4" fontId="4" numFmtId="0" xfId="0" applyAlignment="1" applyBorder="1" applyFill="1" applyFont="1">
      <alignment horizontal="center" shrinkToFit="0" vertical="center" wrapText="1"/>
    </xf>
    <xf borderId="23" fillId="0" fontId="1" numFmtId="0" xfId="0" applyBorder="1" applyFont="1"/>
    <xf borderId="13" fillId="2" fontId="7" numFmtId="0" xfId="0" applyAlignment="1" applyBorder="1" applyFill="1" applyFont="1">
      <alignment horizontal="center" shrinkToFit="0" vertical="center" wrapText="1"/>
    </xf>
    <xf borderId="15" fillId="3" fontId="4" numFmtId="0" xfId="0" applyAlignment="1" applyBorder="1" applyFill="1" applyFont="1">
      <alignment horizontal="center" shrinkToFit="0" vertical="top" wrapText="1"/>
    </xf>
    <xf borderId="24" fillId="0" fontId="1" numFmtId="3" xfId="0" applyAlignment="1" applyBorder="1" applyFont="1" applyNumberFormat="1">
      <alignment readingOrder="0"/>
    </xf>
    <xf borderId="25" fillId="4" fontId="4" numFmtId="0" xfId="0" applyAlignment="1" applyBorder="1" applyFill="1" applyFont="1">
      <alignment horizontal="center" shrinkToFit="0" vertical="center" wrapText="1"/>
    </xf>
    <xf borderId="26" fillId="4" fontId="4" numFmtId="0" xfId="0" applyAlignment="1" applyBorder="1" applyFill="1" applyFont="1">
      <alignment horizontal="center" shrinkToFit="0" vertical="top" wrapText="1"/>
    </xf>
    <xf borderId="24" fillId="0" fontId="1" numFmtId="3" xfId="0" applyBorder="1" applyFont="1" applyNumberFormat="1"/>
    <xf borderId="27" fillId="0" fontId="3" numFmtId="0" xfId="0" applyBorder="1" applyFont="1"/>
    <xf borderId="28" fillId="4" fontId="4" numFmtId="0" xfId="0" applyAlignment="1" applyBorder="1" applyFill="1" applyFont="1">
      <alignment horizontal="center" shrinkToFit="0" vertical="center" wrapText="1"/>
    </xf>
    <xf borderId="24" fillId="0" fontId="5" numFmtId="0" xfId="0" applyAlignment="1" applyBorder="1" applyFont="1">
      <alignment horizontal="center"/>
    </xf>
    <xf borderId="29" fillId="4" fontId="4" numFmtId="0" xfId="0" applyAlignment="1" applyBorder="1" applyFill="1" applyFont="1">
      <alignment horizontal="center" shrinkToFit="0" vertical="top" wrapText="1"/>
    </xf>
    <xf borderId="30" fillId="4" fontId="4" numFmtId="0" xfId="0" applyAlignment="1" applyBorder="1" applyFill="1" applyFont="1">
      <alignment horizontal="center" shrinkToFit="0" vertical="center" wrapText="1"/>
    </xf>
    <xf borderId="24" fillId="0" fontId="1" numFmtId="0" xfId="0" applyBorder="1" applyFont="1"/>
    <xf borderId="31" fillId="0" fontId="3" numFmtId="0" xfId="0" applyBorder="1" applyFont="1"/>
    <xf borderId="32" fillId="4" fontId="4" numFmtId="0" xfId="0" applyAlignment="1" applyBorder="1" applyFill="1" applyFont="1">
      <alignment horizontal="center" shrinkToFit="0" vertical="center" wrapText="1"/>
    </xf>
    <xf borderId="33" fillId="0" fontId="1" numFmtId="164" xfId="0" applyBorder="1" applyFont="1" applyNumberFormat="1"/>
    <xf borderId="34" fillId="0" fontId="3" numFmtId="0" xfId="0" applyBorder="1" applyFont="1"/>
    <xf borderId="33" fillId="0" fontId="1" numFmtId="164" xfId="0" applyAlignment="1" applyBorder="1" applyFont="1" applyNumberFormat="1">
      <alignment readingOrder="0"/>
    </xf>
    <xf borderId="33" fillId="0" fontId="1" numFmtId="3" xfId="0" applyBorder="1" applyFont="1" applyNumberFormat="1"/>
    <xf borderId="5" fillId="4" fontId="4" numFmtId="0" xfId="0" applyAlignment="1" applyBorder="1" applyFill="1" applyFont="1">
      <alignment horizontal="center" shrinkToFit="0" vertical="top" wrapText="1"/>
    </xf>
    <xf borderId="35" fillId="2" fontId="1" numFmtId="3" xfId="0" applyAlignment="1" applyBorder="1" applyFill="1" applyFont="1" applyNumberFormat="1">
      <alignment readingOrder="0"/>
    </xf>
    <xf borderId="36" fillId="0" fontId="5" numFmtId="0" xfId="0" applyBorder="1" applyFont="1"/>
    <xf borderId="37" fillId="0" fontId="3" numFmtId="0" xfId="0" applyBorder="1" applyFont="1"/>
    <xf borderId="38" fillId="0" fontId="3" numFmtId="0" xfId="0" applyBorder="1" applyFont="1"/>
    <xf borderId="26" fillId="0" fontId="8" numFmtId="0" xfId="0" applyBorder="1" applyFont="1"/>
    <xf borderId="35" fillId="9" fontId="4" numFmtId="164" xfId="0" applyAlignment="1" applyBorder="1" applyFill="1" applyFont="1" applyNumberFormat="1">
      <alignment horizontal="center" shrinkToFit="0" vertical="center" wrapText="1"/>
    </xf>
    <xf borderId="36" fillId="0" fontId="8" numFmtId="0" xfId="0" applyBorder="1" applyFont="1"/>
    <xf borderId="39" fillId="0" fontId="3" numFmtId="0" xfId="0" applyBorder="1" applyFont="1"/>
    <xf borderId="40" fillId="9" fontId="1" numFmtId="3" xfId="0" applyBorder="1" applyFill="1" applyFont="1" applyNumberFormat="1"/>
    <xf borderId="41" fillId="10" fontId="5" numFmtId="3" xfId="0" applyAlignment="1" applyBorder="1" applyFill="1" applyFont="1" applyNumberFormat="1">
      <alignment horizontal="center" readingOrder="0" vertical="center"/>
    </xf>
    <xf borderId="36" fillId="0" fontId="1" numFmtId="3" xfId="0" applyAlignment="1" applyBorder="1" applyFont="1" applyNumberFormat="1">
      <alignment readingOrder="0"/>
    </xf>
    <xf borderId="42" fillId="10" fontId="1" numFmtId="3" xfId="0" applyAlignment="1" applyBorder="1" applyFill="1" applyFont="1" applyNumberFormat="1">
      <alignment readingOrder="0"/>
    </xf>
    <xf borderId="43" fillId="0" fontId="3" numFmtId="0" xfId="0" applyBorder="1" applyFont="1"/>
    <xf borderId="24" fillId="0" fontId="1" numFmtId="0" xfId="0" applyAlignment="1" applyBorder="1" applyFont="1">
      <alignment readingOrder="0"/>
    </xf>
    <xf borderId="41" fillId="0" fontId="5" numFmtId="3" xfId="0" applyAlignment="1" applyBorder="1" applyFont="1" applyNumberFormat="1">
      <alignment horizontal="center" readingOrder="0" vertical="center"/>
    </xf>
    <xf borderId="44" fillId="0" fontId="1" numFmtId="3" xfId="0" applyAlignment="1" applyBorder="1" applyFont="1" applyNumberFormat="1">
      <alignment readingOrder="0"/>
    </xf>
    <xf borderId="45" fillId="4" fontId="4" numFmtId="0" xfId="0" applyAlignment="1" applyBorder="1" applyFill="1" applyFont="1">
      <alignment horizontal="center" shrinkToFit="0" vertical="top" wrapText="1"/>
    </xf>
    <xf borderId="46" fillId="0" fontId="5" numFmtId="3" xfId="0" applyAlignment="1" applyBorder="1" applyFont="1" applyNumberFormat="1">
      <alignment horizontal="center" readingOrder="0" vertical="center"/>
    </xf>
    <xf borderId="47" fillId="0" fontId="5" numFmtId="0" xfId="0" applyAlignment="1" applyBorder="1" applyFont="1">
      <alignment horizontal="center"/>
    </xf>
    <xf borderId="48" fillId="4" fontId="4" numFmtId="0" xfId="0" applyAlignment="1" applyBorder="1" applyFill="1" applyFont="1">
      <alignment horizontal="center" shrinkToFit="0" vertical="top" wrapText="1"/>
    </xf>
    <xf borderId="49" fillId="0" fontId="5" numFmtId="3" xfId="0" applyAlignment="1" applyBorder="1" applyFont="1" applyNumberFormat="1">
      <alignment horizontal="center" vertical="center"/>
    </xf>
    <xf borderId="47" fillId="0" fontId="1" numFmtId="0" xfId="0" applyBorder="1" applyFont="1"/>
    <xf borderId="50" fillId="4" fontId="4" numFmtId="0" xfId="0" applyAlignment="1" applyBorder="1" applyFill="1" applyFont="1">
      <alignment horizontal="center" shrinkToFit="0" vertical="top" wrapText="1"/>
    </xf>
    <xf borderId="51" fillId="0" fontId="5" numFmtId="3" xfId="0" applyAlignment="1" applyBorder="1" applyFont="1" applyNumberFormat="1">
      <alignment horizontal="center" vertical="center"/>
    </xf>
    <xf borderId="52" fillId="0" fontId="1" numFmtId="3" xfId="0" applyBorder="1" applyFont="1" applyNumberFormat="1"/>
    <xf borderId="36" fillId="0" fontId="5" numFmtId="0" xfId="0" applyAlignment="1" applyBorder="1" applyFont="1">
      <alignment horizontal="center" vertical="top"/>
    </xf>
    <xf borderId="52" fillId="2" fontId="1" numFmtId="3" xfId="0" applyBorder="1" applyFill="1" applyFont="1" applyNumberFormat="1"/>
    <xf borderId="24" fillId="0" fontId="5" numFmtId="0" xfId="0" applyAlignment="1" applyBorder="1" applyFont="1">
      <alignment vertical="top"/>
    </xf>
    <xf borderId="53" fillId="4" fontId="5" numFmtId="3" xfId="0" applyAlignment="1" applyBorder="1" applyFill="1" applyFont="1" applyNumberFormat="1">
      <alignment horizontal="right" vertical="center"/>
    </xf>
    <xf borderId="24" fillId="0" fontId="5" numFmtId="3" xfId="0" applyAlignment="1" applyBorder="1" applyFont="1" applyNumberFormat="1">
      <alignment horizontal="center" readingOrder="0" vertical="top"/>
    </xf>
    <xf borderId="33" fillId="0" fontId="5" numFmtId="3" xfId="0" applyAlignment="1" applyBorder="1" applyFont="1" applyNumberFormat="1">
      <alignment horizontal="center" readingOrder="0" vertical="top"/>
    </xf>
    <xf borderId="54" fillId="0" fontId="5" numFmtId="3" xfId="0" applyAlignment="1" applyBorder="1" applyFont="1" applyNumberFormat="1">
      <alignment horizontal="center" readingOrder="0" vertical="top"/>
    </xf>
    <xf borderId="52" fillId="0" fontId="1" numFmtId="3" xfId="0" applyAlignment="1" applyBorder="1" applyFont="1" applyNumberFormat="1">
      <alignment readingOrder="0"/>
    </xf>
    <xf borderId="24" fillId="0" fontId="1" numFmtId="164" xfId="0" applyAlignment="1" applyBorder="1" applyFont="1" applyNumberFormat="1">
      <alignment readingOrder="0"/>
    </xf>
    <xf borderId="52" fillId="0" fontId="5" numFmtId="0" xfId="0" applyBorder="1" applyFont="1"/>
    <xf borderId="23" fillId="0" fontId="8" numFmtId="0" xfId="0" applyBorder="1" applyFont="1"/>
    <xf borderId="55" fillId="3" fontId="5" numFmtId="3" xfId="0" applyAlignment="1" applyBorder="1" applyFill="1" applyFont="1" applyNumberFormat="1">
      <alignment horizontal="right" vertical="top"/>
    </xf>
    <xf borderId="24" fillId="0" fontId="8" numFmtId="0" xfId="0" applyBorder="1" applyFont="1"/>
    <xf borderId="56" fillId="0" fontId="5" numFmtId="3" xfId="0" applyAlignment="1" applyBorder="1" applyFont="1" applyNumberFormat="1">
      <alignment horizontal="right" readingOrder="0" vertical="top"/>
    </xf>
    <xf borderId="56" fillId="10" fontId="5" numFmtId="3" xfId="0" applyAlignment="1" applyBorder="1" applyFill="1" applyFont="1" applyNumberFormat="1">
      <alignment horizontal="center" vertical="center"/>
    </xf>
    <xf borderId="42" fillId="0" fontId="5" numFmtId="3" xfId="0" applyAlignment="1" applyBorder="1" applyFont="1" applyNumberFormat="1">
      <alignment horizontal="right" vertical="top"/>
    </xf>
    <xf borderId="56" fillId="0" fontId="5" numFmtId="3" xfId="0" applyAlignment="1" applyBorder="1" applyFont="1" applyNumberFormat="1">
      <alignment horizontal="center" vertical="center"/>
    </xf>
    <xf borderId="57" fillId="0" fontId="5" numFmtId="3" xfId="0" applyAlignment="1" applyBorder="1" applyFont="1" applyNumberFormat="1">
      <alignment horizontal="right" readingOrder="0" vertical="top"/>
    </xf>
    <xf borderId="58" fillId="0" fontId="5" numFmtId="3" xfId="0" applyAlignment="1" applyBorder="1" applyFont="1" applyNumberFormat="1">
      <alignment horizontal="right" readingOrder="0" vertical="top"/>
    </xf>
    <xf borderId="57" fillId="0" fontId="5" numFmtId="3" xfId="0" applyAlignment="1" applyBorder="1" applyFont="1" applyNumberFormat="1">
      <alignment horizontal="center" vertical="center"/>
    </xf>
    <xf borderId="56" fillId="0" fontId="5" numFmtId="3" xfId="0" applyAlignment="1" applyBorder="1" applyFont="1" applyNumberFormat="1">
      <alignment horizontal="center" vertical="top"/>
    </xf>
    <xf borderId="58" fillId="0" fontId="5" numFmtId="3" xfId="0" applyAlignment="1" applyBorder="1" applyFont="1" applyNumberFormat="1">
      <alignment horizontal="center" vertical="center"/>
    </xf>
    <xf borderId="42" fillId="0" fontId="5" numFmtId="3" xfId="0" applyAlignment="1" applyBorder="1" applyFont="1" applyNumberFormat="1">
      <alignment horizontal="center" vertical="top"/>
    </xf>
    <xf borderId="59" fillId="0" fontId="5" numFmtId="3" xfId="0" applyAlignment="1" applyBorder="1" applyFont="1" applyNumberFormat="1">
      <alignment horizontal="center" vertical="center"/>
    </xf>
    <xf borderId="57" fillId="0" fontId="5" numFmtId="3" xfId="0" applyAlignment="1" applyBorder="1" applyFont="1" applyNumberFormat="1">
      <alignment horizontal="center" vertical="top"/>
    </xf>
    <xf borderId="44" fillId="0" fontId="5" numFmtId="3" xfId="0" applyAlignment="1" applyBorder="1" applyFont="1" applyNumberFormat="1">
      <alignment horizontal="center" vertical="center"/>
    </xf>
    <xf borderId="58" fillId="0" fontId="5" numFmtId="3" xfId="0" applyAlignment="1" applyBorder="1" applyFont="1" applyNumberFormat="1">
      <alignment horizontal="center" vertical="top"/>
    </xf>
    <xf borderId="60" fillId="4" fontId="5" numFmtId="3" xfId="0" applyAlignment="1" applyBorder="1" applyFill="1" applyFont="1" applyNumberFormat="1">
      <alignment horizontal="right" vertical="center"/>
    </xf>
    <xf borderId="52" fillId="4" fontId="5" numFmtId="3" xfId="0" applyAlignment="1" applyBorder="1" applyFill="1" applyFont="1" applyNumberFormat="1">
      <alignment horizontal="right" vertical="top"/>
    </xf>
    <xf borderId="47" fillId="0" fontId="8" numFmtId="0" xfId="0" applyBorder="1" applyFont="1"/>
    <xf borderId="52" fillId="0" fontId="8" numFmtId="0" xfId="0" applyBorder="1" applyFont="1"/>
    <xf borderId="61" fillId="0" fontId="1" numFmtId="3" xfId="0" applyBorder="1" applyFont="1" applyNumberFormat="1"/>
    <xf borderId="62" fillId="11" fontId="5" numFmtId="3" xfId="0" applyAlignment="1" applyBorder="1" applyFill="1" applyFont="1" applyNumberFormat="1">
      <alignment horizontal="right" vertical="top"/>
    </xf>
    <xf borderId="59" fillId="10" fontId="1" numFmtId="3" xfId="0" applyAlignment="1" applyBorder="1" applyFill="1" applyFont="1" applyNumberFormat="1">
      <alignment readingOrder="0"/>
    </xf>
    <xf borderId="63" fillId="9" fontId="1" numFmtId="3" xfId="0" applyBorder="1" applyFill="1" applyFont="1" applyNumberFormat="1"/>
    <xf borderId="56" fillId="0" fontId="5" numFmtId="3" xfId="0" applyAlignment="1" applyBorder="1" applyFont="1" applyNumberFormat="1">
      <alignment horizontal="center" readingOrder="0" vertical="center"/>
    </xf>
    <xf borderId="64" fillId="12" fontId="5" numFmtId="3" xfId="0" applyAlignment="1" applyBorder="1" applyFill="1" applyFont="1" applyNumberFormat="1">
      <alignment vertical="top"/>
    </xf>
    <xf borderId="59" fillId="0" fontId="1" numFmtId="3" xfId="0" applyBorder="1" applyFont="1" applyNumberFormat="1"/>
    <xf borderId="36" fillId="12" fontId="5" numFmtId="3" xfId="0" applyAlignment="1" applyBorder="1" applyFill="1" applyFont="1" applyNumberFormat="1">
      <alignment vertical="top"/>
    </xf>
    <xf borderId="44" fillId="0" fontId="1" numFmtId="3" xfId="0" applyBorder="1" applyFont="1" applyNumberFormat="1"/>
    <xf borderId="1" fillId="2" fontId="1" numFmtId="3" xfId="0" applyBorder="1" applyFill="1" applyFont="1" applyNumberFormat="1"/>
    <xf borderId="60" fillId="4" fontId="1" numFmtId="3" xfId="0" applyBorder="1" applyFill="1" applyFont="1" applyNumberFormat="1"/>
    <xf borderId="52" fillId="0" fontId="5" numFmtId="0" xfId="0" applyAlignment="1" applyBorder="1" applyFont="1">
      <alignment horizontal="center" vertical="top"/>
    </xf>
    <xf borderId="52" fillId="0" fontId="5" numFmtId="0" xfId="0" applyAlignment="1" applyBorder="1" applyFont="1">
      <alignment shrinkToFit="0" vertical="top" wrapText="1"/>
    </xf>
    <xf borderId="61" fillId="0" fontId="5" numFmtId="3" xfId="0" applyAlignment="1" applyBorder="1" applyFont="1" applyNumberFormat="1">
      <alignment horizontal="center" readingOrder="0" vertical="top"/>
    </xf>
    <xf borderId="52" fillId="0" fontId="8" numFmtId="0" xfId="0" applyAlignment="1" applyBorder="1" applyFont="1">
      <alignment readingOrder="0"/>
    </xf>
    <xf borderId="65" fillId="3" fontId="5" numFmtId="3" xfId="0" applyAlignment="1" applyBorder="1" applyFill="1" applyFont="1" applyNumberFormat="1">
      <alignment horizontal="right" vertical="top"/>
    </xf>
    <xf borderId="59" fillId="0" fontId="5" numFmtId="3" xfId="0" applyAlignment="1" applyBorder="1" applyFont="1" applyNumberFormat="1">
      <alignment horizontal="right" vertical="top"/>
    </xf>
    <xf borderId="65" fillId="12" fontId="1" numFmtId="3" xfId="0" applyAlignment="1" applyBorder="1" applyFill="1" applyFont="1" applyNumberFormat="1">
      <alignment readingOrder="0" vertical="top"/>
    </xf>
    <xf borderId="52" fillId="12" fontId="1" numFmtId="3" xfId="0" applyAlignment="1" applyBorder="1" applyFill="1" applyFont="1" applyNumberFormat="1">
      <alignment readingOrder="0" vertical="top"/>
    </xf>
    <xf borderId="42" fillId="0" fontId="1" numFmtId="3" xfId="0" applyAlignment="1" applyBorder="1" applyFont="1" applyNumberFormat="1">
      <alignment readingOrder="0"/>
    </xf>
    <xf borderId="65" fillId="3" fontId="1" numFmtId="3" xfId="0" applyAlignment="1" applyBorder="1" applyFill="1" applyFont="1" applyNumberFormat="1">
      <alignment vertical="top"/>
    </xf>
    <xf borderId="42" fillId="0" fontId="5" numFmtId="3" xfId="0" applyAlignment="1" applyBorder="1" applyFont="1" applyNumberFormat="1">
      <alignment horizontal="center" vertical="center"/>
    </xf>
    <xf borderId="59" fillId="0" fontId="1" numFmtId="3" xfId="0" applyAlignment="1" applyBorder="1" applyFont="1" applyNumberFormat="1">
      <alignment readingOrder="0" vertical="top"/>
    </xf>
    <xf borderId="62" fillId="11" fontId="1" numFmtId="3" xfId="0" applyAlignment="1" applyBorder="1" applyFill="1" applyFont="1" applyNumberFormat="1">
      <alignment vertical="top"/>
    </xf>
    <xf borderId="66" fillId="0" fontId="5" numFmtId="0" xfId="0" applyBorder="1" applyFont="1"/>
    <xf borderId="67" fillId="0" fontId="8" numFmtId="0" xfId="0" applyBorder="1" applyFont="1"/>
    <xf borderId="59" fillId="0" fontId="1" numFmtId="3" xfId="0" applyAlignment="1" applyBorder="1" applyFont="1" applyNumberFormat="1">
      <alignment vertical="top"/>
    </xf>
    <xf borderId="66" fillId="0" fontId="8" numFmtId="0" xfId="0" applyBorder="1" applyFont="1"/>
    <xf borderId="45" fillId="0" fontId="1" numFmtId="3" xfId="0" applyBorder="1" applyFont="1" applyNumberFormat="1"/>
    <xf borderId="68" fillId="0" fontId="1" numFmtId="3" xfId="0" applyBorder="1" applyFont="1" applyNumberFormat="1"/>
    <xf borderId="22" fillId="0" fontId="5" numFmtId="3" xfId="0" applyAlignment="1" applyBorder="1" applyFont="1" applyNumberFormat="1">
      <alignment horizontal="center" vertical="center"/>
    </xf>
    <xf borderId="68" fillId="0" fontId="5" numFmtId="3" xfId="0" applyAlignment="1" applyBorder="1" applyFont="1" applyNumberFormat="1">
      <alignment horizontal="center" vertical="center"/>
    </xf>
    <xf borderId="69" fillId="0" fontId="5" numFmtId="3" xfId="0" applyAlignment="1" applyBorder="1" applyFont="1" applyNumberFormat="1">
      <alignment horizontal="center" vertical="center"/>
    </xf>
    <xf borderId="70" fillId="0" fontId="5" numFmtId="3" xfId="0" applyAlignment="1" applyBorder="1" applyFont="1" applyNumberFormat="1">
      <alignment horizontal="center" vertical="center"/>
    </xf>
    <xf borderId="48" fillId="0" fontId="1" numFmtId="3" xfId="0" applyBorder="1" applyFont="1" applyNumberFormat="1"/>
    <xf borderId="71" fillId="4" fontId="1" numFmtId="3" xfId="0" applyBorder="1" applyFill="1" applyFont="1" applyNumberFormat="1"/>
    <xf borderId="1" fillId="2" fontId="5" numFmtId="0" xfId="0" applyAlignment="1" applyBorder="1" applyFill="1" applyFont="1">
      <alignment horizontal="right"/>
    </xf>
    <xf borderId="52" fillId="0" fontId="8" numFmtId="0" xfId="0" applyAlignment="1" applyBorder="1" applyFont="1">
      <alignment vertical="top"/>
    </xf>
    <xf borderId="52" fillId="0" fontId="1" numFmtId="3" xfId="0" applyAlignment="1" applyBorder="1" applyFont="1" applyNumberFormat="1">
      <alignment vertical="top"/>
    </xf>
    <xf borderId="33" fillId="0" fontId="5" numFmtId="3" xfId="0" applyAlignment="1" applyBorder="1" applyFont="1" applyNumberFormat="1">
      <alignment horizontal="center" vertical="top"/>
    </xf>
    <xf borderId="24" fillId="0" fontId="5" numFmtId="3" xfId="0" applyAlignment="1" applyBorder="1" applyFont="1" applyNumberFormat="1">
      <alignment horizontal="center" vertical="top"/>
    </xf>
    <xf borderId="22" fillId="0" fontId="1" numFmtId="3" xfId="0" applyBorder="1" applyFont="1" applyNumberFormat="1"/>
    <xf borderId="61" fillId="0" fontId="1" numFmtId="3" xfId="0" applyAlignment="1" applyBorder="1" applyFont="1" applyNumberFormat="1">
      <alignment vertical="top"/>
    </xf>
    <xf borderId="44" fillId="0" fontId="1" numFmtId="3" xfId="0" applyAlignment="1" applyBorder="1" applyFont="1" applyNumberFormat="1">
      <alignment vertical="top"/>
    </xf>
    <xf borderId="72" fillId="0" fontId="1" numFmtId="3" xfId="0" applyAlignment="1" applyBorder="1" applyFont="1" applyNumberFormat="1">
      <alignment vertical="top"/>
    </xf>
    <xf borderId="73" fillId="0" fontId="1" numFmtId="3" xfId="0" applyAlignment="1" applyBorder="1" applyFont="1" applyNumberFormat="1">
      <alignment vertical="top"/>
    </xf>
    <xf borderId="69" fillId="0" fontId="1" numFmtId="3" xfId="0" applyBorder="1" applyFont="1" applyNumberFormat="1"/>
    <xf borderId="70" fillId="0" fontId="1" numFmtId="3" xfId="0" applyBorder="1" applyFont="1" applyNumberFormat="1"/>
    <xf borderId="65" fillId="12" fontId="1" numFmtId="3" xfId="0" applyAlignment="1" applyBorder="1" applyFill="1" applyFont="1" applyNumberFormat="1">
      <alignment vertical="top"/>
    </xf>
    <xf borderId="52" fillId="12" fontId="1" numFmtId="3" xfId="0" applyAlignment="1" applyBorder="1" applyFill="1" applyFont="1" applyNumberFormat="1">
      <alignment vertical="top"/>
    </xf>
    <xf borderId="74" fillId="4" fontId="1" numFmtId="3" xfId="0" applyBorder="1" applyFill="1" applyFont="1" applyNumberFormat="1"/>
    <xf borderId="67" fillId="0" fontId="5" numFmtId="0" xfId="0" applyAlignment="1" applyBorder="1" applyFont="1">
      <alignment horizontal="center"/>
    </xf>
    <xf borderId="66" fillId="0" fontId="5" numFmtId="0" xfId="0" applyAlignment="1" applyBorder="1" applyFont="1">
      <alignment horizontal="center" vertical="top"/>
    </xf>
    <xf borderId="67" fillId="0" fontId="1" numFmtId="0" xfId="0" applyBorder="1" applyFont="1"/>
    <xf borderId="52" fillId="0" fontId="8" numFmtId="0" xfId="0" applyAlignment="1" applyBorder="1" applyFont="1">
      <alignment horizontal="left" vertical="top"/>
    </xf>
    <xf borderId="66" fillId="0" fontId="1" numFmtId="3" xfId="0" applyBorder="1" applyFont="1" applyNumberFormat="1"/>
    <xf borderId="75" fillId="0" fontId="1" numFmtId="3" xfId="0" applyBorder="1" applyFont="1" applyNumberFormat="1"/>
    <xf borderId="66" fillId="2" fontId="1" numFmtId="3" xfId="0" applyBorder="1" applyFill="1" applyFont="1" applyNumberFormat="1"/>
    <xf borderId="76" fillId="9" fontId="1" numFmtId="3" xfId="0" applyBorder="1" applyFill="1" applyFont="1" applyNumberFormat="1"/>
    <xf borderId="52" fillId="4" fontId="1" numFmtId="3" xfId="0" applyAlignment="1" applyBorder="1" applyFill="1" applyFont="1" applyNumberFormat="1">
      <alignment vertical="top"/>
    </xf>
    <xf borderId="77" fillId="12" fontId="1" numFmtId="3" xfId="0" applyAlignment="1" applyBorder="1" applyFill="1" applyFont="1" applyNumberFormat="1">
      <alignment vertical="top"/>
    </xf>
    <xf borderId="66" fillId="12" fontId="1" numFmtId="3" xfId="0" applyAlignment="1" applyBorder="1" applyFill="1" applyFont="1" applyNumberFormat="1">
      <alignment vertical="top"/>
    </xf>
    <xf borderId="8" fillId="13" fontId="9" numFmtId="0" xfId="0" applyAlignment="1" applyBorder="1" applyFill="1" applyFont="1">
      <alignment horizontal="right" shrinkToFit="0" vertical="center" wrapText="1"/>
    </xf>
    <xf borderId="1" fillId="2" fontId="7" numFmtId="0" xfId="0" applyAlignment="1" applyBorder="1" applyFill="1" applyFont="1">
      <alignment horizontal="center" shrinkToFit="0" vertical="top" wrapText="1"/>
    </xf>
    <xf borderId="16" fillId="2" fontId="7" numFmtId="0" xfId="0" applyAlignment="1" applyBorder="1" applyFill="1" applyFont="1">
      <alignment horizontal="right" shrinkToFit="0" vertical="top" wrapText="1"/>
    </xf>
    <xf borderId="16" fillId="2" fontId="4" numFmtId="3" xfId="0" applyAlignment="1" applyBorder="1" applyFill="1" applyFont="1" applyNumberFormat="1">
      <alignment horizontal="right" shrinkToFit="0" vertical="top" wrapText="1"/>
    </xf>
    <xf borderId="78" fillId="13" fontId="10" numFmtId="3" xfId="0" applyAlignment="1" applyBorder="1" applyFill="1" applyFont="1" applyNumberFormat="1">
      <alignment horizontal="right" shrinkToFit="0" vertical="center" wrapText="1"/>
    </xf>
    <xf borderId="79" fillId="13" fontId="10" numFmtId="3" xfId="0" applyAlignment="1" applyBorder="1" applyFill="1" applyFont="1" applyNumberFormat="1">
      <alignment horizontal="right" shrinkToFit="0" vertical="center" wrapText="1"/>
    </xf>
    <xf borderId="18" fillId="2" fontId="4" numFmtId="3" xfId="0" applyAlignment="1" applyBorder="1" applyFill="1" applyFont="1" applyNumberFormat="1">
      <alignment horizontal="right" shrinkToFit="0" vertical="top" wrapText="1"/>
    </xf>
    <xf borderId="16" fillId="9" fontId="10" numFmtId="3" xfId="0" applyAlignment="1" applyBorder="1" applyFill="1" applyFont="1" applyNumberFormat="1">
      <alignment horizontal="right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80" fillId="0" fontId="5" numFmtId="0" xfId="0" applyAlignment="1" applyBorder="1" applyFont="1">
      <alignment horizontal="center"/>
    </xf>
    <xf borderId="80" fillId="0" fontId="1" numFmtId="0" xfId="0" applyBorder="1" applyFont="1"/>
    <xf borderId="13" fillId="3" fontId="4" numFmtId="3" xfId="0" applyAlignment="1" applyBorder="1" applyFill="1" applyFont="1" applyNumberFormat="1">
      <alignment horizontal="right" shrinkToFit="0" vertical="top" wrapText="1"/>
    </xf>
    <xf borderId="52" fillId="0" fontId="1" numFmtId="0" xfId="0" applyBorder="1" applyFont="1"/>
    <xf borderId="81" fillId="0" fontId="1" numFmtId="0" xfId="0" applyBorder="1" applyFont="1"/>
    <xf borderId="82" fillId="0" fontId="1" numFmtId="164" xfId="0" applyBorder="1" applyFont="1" applyNumberFormat="1"/>
    <xf borderId="25" fillId="0" fontId="4" numFmtId="3" xfId="0" applyAlignment="1" applyBorder="1" applyFont="1" applyNumberFormat="1">
      <alignment horizontal="right" shrinkToFit="0" vertical="top" wrapText="1"/>
    </xf>
    <xf borderId="81" fillId="0" fontId="3" numFmtId="0" xfId="0" applyBorder="1" applyFont="1"/>
    <xf borderId="30" fillId="0" fontId="4" numFmtId="3" xfId="0" applyAlignment="1" applyBorder="1" applyFont="1" applyNumberFormat="1">
      <alignment horizontal="right" shrinkToFit="0" vertical="top" wrapText="1"/>
    </xf>
    <xf borderId="1" fillId="2" fontId="1" numFmtId="164" xfId="0" applyBorder="1" applyFill="1" applyFont="1" applyNumberFormat="1"/>
    <xf borderId="83" fillId="0" fontId="4" numFmtId="3" xfId="0" applyAlignment="1" applyBorder="1" applyFont="1" applyNumberFormat="1">
      <alignment horizontal="right" shrinkToFit="0" vertical="top" wrapText="1"/>
    </xf>
    <xf borderId="84" fillId="0" fontId="4" numFmtId="3" xfId="0" applyAlignment="1" applyBorder="1" applyFont="1" applyNumberFormat="1">
      <alignment horizontal="right" shrinkToFit="0" vertical="top" wrapText="1"/>
    </xf>
    <xf borderId="66" fillId="0" fontId="5" numFmtId="0" xfId="0" applyAlignment="1" applyBorder="1" applyFont="1">
      <alignment horizontal="center"/>
    </xf>
    <xf borderId="66" fillId="0" fontId="1" numFmtId="0" xfId="0" applyBorder="1" applyFont="1"/>
    <xf borderId="16" fillId="4" fontId="4" numFmtId="3" xfId="0" applyAlignment="1" applyBorder="1" applyFill="1" applyFont="1" applyNumberFormat="1">
      <alignment horizontal="right" shrinkToFit="0" vertical="top" wrapText="1"/>
    </xf>
    <xf borderId="75" fillId="0" fontId="1" numFmtId="164" xfId="0" applyBorder="1" applyFont="1" applyNumberFormat="1"/>
    <xf borderId="16" fillId="11" fontId="4" numFmtId="3" xfId="0" applyAlignment="1" applyBorder="1" applyFill="1" applyFont="1" applyNumberFormat="1">
      <alignment horizontal="right" shrinkToFit="0" vertical="top" wrapText="1"/>
    </xf>
    <xf borderId="1" fillId="2" fontId="4" numFmtId="3" xfId="0" applyAlignment="1" applyBorder="1" applyFill="1" applyFont="1" applyNumberFormat="1">
      <alignment horizontal="right" shrinkToFit="0" vertical="top" wrapText="1"/>
    </xf>
    <xf borderId="8" fillId="0" fontId="5" numFmtId="0" xfId="0" applyAlignment="1" applyBorder="1" applyFont="1">
      <alignment horizontal="right"/>
    </xf>
    <xf borderId="13" fillId="3" fontId="1" numFmtId="164" xfId="0" applyAlignment="1" applyBorder="1" applyFill="1" applyFont="1" applyNumberFormat="1">
      <alignment readingOrder="0"/>
    </xf>
    <xf borderId="13" fillId="4" fontId="1" numFmtId="164" xfId="0" applyBorder="1" applyFill="1" applyFont="1" applyNumberFormat="1"/>
    <xf borderId="0" fillId="2" fontId="4" numFmtId="0" xfId="0" applyAlignment="1" applyFill="1" applyFont="1">
      <alignment horizontal="left" shrinkToFit="0" vertical="center" wrapText="1"/>
    </xf>
    <xf borderId="85" fillId="2" fontId="4" numFmtId="165" xfId="0" applyAlignment="1" applyBorder="1" applyFill="1" applyFont="1" applyNumberFormat="1">
      <alignment horizontal="left" readingOrder="0" shrinkToFit="0" vertical="center" wrapText="1"/>
    </xf>
    <xf borderId="85" fillId="2" fontId="4" numFmtId="3" xfId="0" applyAlignment="1" applyBorder="1" applyFill="1" applyFont="1" applyNumberFormat="1">
      <alignment horizontal="left" shrinkToFit="0" vertical="center" wrapText="1"/>
    </xf>
    <xf borderId="85" fillId="2" fontId="4" numFmtId="0" xfId="0" applyAlignment="1" applyBorder="1" applyFill="1" applyFont="1">
      <alignment horizontal="left" shrinkToFit="0" vertical="center" wrapText="1"/>
    </xf>
    <xf borderId="2" fillId="2" fontId="4" numFmtId="0" xfId="0" applyAlignment="1" applyBorder="1" applyFill="1" applyFont="1">
      <alignment horizontal="left" shrinkToFit="0" vertical="center" wrapText="1"/>
    </xf>
    <xf borderId="2" fillId="2" fontId="6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ill="1" applyFont="1">
      <alignment vertical="center"/>
    </xf>
    <xf borderId="86" fillId="3" fontId="5" numFmtId="0" xfId="0" applyAlignment="1" applyBorder="1" applyFill="1" applyFont="1">
      <alignment horizontal="center" vertical="top"/>
    </xf>
    <xf borderId="26" fillId="4" fontId="4" numFmtId="0" xfId="0" applyAlignment="1" applyBorder="1" applyFill="1" applyFont="1">
      <alignment horizontal="center" readingOrder="0" shrinkToFit="0" vertical="top" wrapText="1"/>
    </xf>
    <xf borderId="87" fillId="4" fontId="4" numFmtId="0" xfId="0" applyAlignment="1" applyBorder="1" applyFill="1" applyFont="1">
      <alignment horizontal="center" shrinkToFit="0" vertical="top" wrapText="1"/>
    </xf>
    <xf borderId="42" fillId="0" fontId="5" numFmtId="3" xfId="0" applyAlignment="1" applyBorder="1" applyFont="1" applyNumberFormat="1">
      <alignment horizontal="right" readingOrder="0" vertical="top"/>
    </xf>
    <xf borderId="57" fillId="0" fontId="5" numFmtId="3" xfId="0" applyAlignment="1" applyBorder="1" applyFont="1" applyNumberFormat="1">
      <alignment horizontal="right" vertical="top"/>
    </xf>
    <xf borderId="58" fillId="0" fontId="5" numFmtId="3" xfId="0" applyAlignment="1" applyBorder="1" applyFont="1" applyNumberFormat="1">
      <alignment horizontal="right" vertical="top"/>
    </xf>
    <xf borderId="56" fillId="0" fontId="5" numFmtId="3" xfId="0" applyAlignment="1" applyBorder="1" applyFont="1" applyNumberFormat="1">
      <alignment horizontal="right" vertical="top"/>
    </xf>
    <xf borderId="35" fillId="4" fontId="1" numFmtId="3" xfId="0" applyAlignment="1" applyBorder="1" applyFill="1" applyFont="1" applyNumberFormat="1">
      <alignment horizontal="right" vertical="top"/>
    </xf>
    <xf borderId="62" fillId="9" fontId="5" numFmtId="3" xfId="0" applyAlignment="1" applyBorder="1" applyFill="1" applyFont="1" applyNumberFormat="1">
      <alignment horizontal="right" vertical="top"/>
    </xf>
    <xf borderId="59" fillId="0" fontId="5" numFmtId="3" xfId="0" applyAlignment="1" applyBorder="1" applyFont="1" applyNumberFormat="1">
      <alignment horizontal="right" readingOrder="0" vertical="top"/>
    </xf>
    <xf borderId="72" fillId="0" fontId="5" numFmtId="3" xfId="0" applyAlignment="1" applyBorder="1" applyFont="1" applyNumberFormat="1">
      <alignment horizontal="right" vertical="top"/>
    </xf>
    <xf borderId="73" fillId="0" fontId="5" numFmtId="3" xfId="0" applyAlignment="1" applyBorder="1" applyFont="1" applyNumberFormat="1">
      <alignment horizontal="right" readingOrder="0" vertical="top"/>
    </xf>
    <xf borderId="44" fillId="0" fontId="5" numFmtId="3" xfId="0" applyAlignment="1" applyBorder="1" applyFont="1" applyNumberFormat="1">
      <alignment horizontal="right" readingOrder="0" vertical="top"/>
    </xf>
    <xf borderId="54" fillId="0" fontId="11" numFmtId="0" xfId="0" applyBorder="1" applyFont="1"/>
    <xf borderId="59" fillId="0" fontId="5" numFmtId="3" xfId="0" applyAlignment="1" applyBorder="1" applyFont="1" applyNumberFormat="1">
      <alignment horizontal="center" vertical="top"/>
    </xf>
    <xf borderId="44" fillId="0" fontId="5" numFmtId="3" xfId="0" applyAlignment="1" applyBorder="1" applyFont="1" applyNumberFormat="1">
      <alignment horizontal="center" readingOrder="0" vertical="top"/>
    </xf>
    <xf borderId="72" fillId="0" fontId="5" numFmtId="3" xfId="0" applyAlignment="1" applyBorder="1" applyFont="1" applyNumberFormat="1">
      <alignment horizontal="center" vertical="top"/>
    </xf>
    <xf borderId="73" fillId="0" fontId="5" numFmtId="3" xfId="0" applyAlignment="1" applyBorder="1" applyFont="1" applyNumberFormat="1">
      <alignment horizontal="center" vertical="top"/>
    </xf>
    <xf borderId="44" fillId="0" fontId="5" numFmtId="3" xfId="0" applyAlignment="1" applyBorder="1" applyFont="1" applyNumberFormat="1">
      <alignment horizontal="right" vertical="top"/>
    </xf>
    <xf borderId="44" fillId="0" fontId="1" numFmtId="3" xfId="0" applyAlignment="1" applyBorder="1" applyFont="1" applyNumberFormat="1">
      <alignment readingOrder="0" vertical="top"/>
    </xf>
    <xf borderId="62" fillId="9" fontId="1" numFmtId="3" xfId="0" applyAlignment="1" applyBorder="1" applyFill="1" applyFont="1" applyNumberFormat="1">
      <alignment vertical="top"/>
    </xf>
    <xf borderId="16" fillId="9" fontId="4" numFmtId="3" xfId="0" applyAlignment="1" applyBorder="1" applyFill="1" applyFont="1" applyNumberFormat="1">
      <alignment horizontal="right" shrinkToFit="0" vertical="top" wrapText="1"/>
    </xf>
    <xf borderId="2" fillId="2" fontId="2" numFmtId="0" xfId="0" applyBorder="1" applyFill="1" applyFont="1"/>
    <xf borderId="15" fillId="12" fontId="5" numFmtId="0" xfId="0" applyAlignment="1" applyBorder="1" applyFill="1" applyFont="1">
      <alignment horizontal="center" shrinkToFit="0" vertical="center" wrapText="1"/>
    </xf>
    <xf borderId="5" fillId="12" fontId="5" numFmtId="0" xfId="0" applyAlignment="1" applyBorder="1" applyFill="1" applyFont="1">
      <alignment horizontal="center" vertical="center"/>
    </xf>
    <xf borderId="88" fillId="14" fontId="12" numFmtId="0" xfId="0" applyAlignment="1" applyBorder="1" applyFill="1" applyFont="1">
      <alignment horizontal="center" vertical="center"/>
    </xf>
    <xf borderId="89" fillId="0" fontId="3" numFmtId="0" xfId="0" applyBorder="1" applyFont="1"/>
    <xf borderId="7" fillId="14" fontId="12" numFmtId="0" xfId="0" applyAlignment="1" applyBorder="1" applyFill="1" applyFont="1">
      <alignment horizontal="center" vertical="center"/>
    </xf>
    <xf borderId="32" fillId="12" fontId="13" numFmtId="0" xfId="0" applyAlignment="1" applyBorder="1" applyFill="1" applyFont="1">
      <alignment horizontal="center" vertical="center"/>
    </xf>
    <xf borderId="90" fillId="12" fontId="13" numFmtId="0" xfId="0" applyAlignment="1" applyBorder="1" applyFill="1" applyFont="1">
      <alignment horizontal="center" vertical="center"/>
    </xf>
    <xf borderId="30" fillId="12" fontId="13" numFmtId="0" xfId="0" applyAlignment="1" applyBorder="1" applyFill="1" applyFont="1">
      <alignment horizontal="center" vertical="center"/>
    </xf>
    <xf borderId="28" fillId="12" fontId="13" numFmtId="0" xfId="0" applyAlignment="1" applyBorder="1" applyFill="1" applyFont="1">
      <alignment horizontal="center" vertical="center"/>
    </xf>
    <xf borderId="25" fillId="12" fontId="13" numFmtId="0" xfId="0" applyAlignment="1" applyBorder="1" applyFill="1" applyFont="1">
      <alignment horizontal="center" vertical="center"/>
    </xf>
    <xf borderId="24" fillId="0" fontId="5" numFmtId="0" xfId="0" applyBorder="1" applyFont="1"/>
    <xf borderId="91" fillId="15" fontId="14" numFmtId="0" xfId="0" applyBorder="1" applyFill="1" applyFont="1"/>
    <xf borderId="92" fillId="15" fontId="14" numFmtId="0" xfId="0" applyBorder="1" applyFill="1" applyFont="1"/>
    <xf borderId="93" fillId="15" fontId="14" numFmtId="0" xfId="0" applyBorder="1" applyFill="1" applyFont="1"/>
    <xf borderId="94" fillId="15" fontId="14" numFmtId="0" xfId="0" applyBorder="1" applyFill="1" applyFont="1"/>
    <xf borderId="95" fillId="15" fontId="14" numFmtId="0" xfId="0" applyBorder="1" applyFill="1" applyFont="1"/>
    <xf borderId="96" fillId="2" fontId="14" numFmtId="0" xfId="0" applyBorder="1" applyFill="1" applyFont="1"/>
    <xf borderId="54" fillId="2" fontId="14" numFmtId="0" xfId="0" applyBorder="1" applyFill="1" applyFont="1"/>
    <xf borderId="54" fillId="16" fontId="14" numFmtId="0" xfId="0" applyBorder="1" applyFill="1" applyFont="1"/>
    <xf borderId="44" fillId="16" fontId="14" numFmtId="0" xfId="0" applyBorder="1" applyFill="1" applyFont="1"/>
    <xf borderId="96" fillId="16" fontId="14" numFmtId="0" xfId="0" applyBorder="1" applyFill="1" applyFont="1"/>
    <xf borderId="97" fillId="16" fontId="14" numFmtId="0" xfId="0" applyBorder="1" applyFill="1" applyFont="1"/>
    <xf borderId="59" fillId="16" fontId="14" numFmtId="0" xfId="0" applyBorder="1" applyFill="1" applyFont="1"/>
    <xf borderId="54" fillId="0" fontId="14" numFmtId="0" xfId="0" applyBorder="1" applyFont="1"/>
    <xf borderId="44" fillId="0" fontId="14" numFmtId="0" xfId="0" applyBorder="1" applyFont="1"/>
    <xf borderId="72" fillId="0" fontId="14" numFmtId="0" xfId="0" applyBorder="1" applyFont="1"/>
    <xf borderId="54" fillId="15" fontId="14" numFmtId="0" xfId="0" applyBorder="1" applyFill="1" applyFont="1"/>
    <xf borderId="44" fillId="15" fontId="14" numFmtId="0" xfId="0" applyBorder="1" applyFill="1" applyFont="1"/>
    <xf borderId="96" fillId="15" fontId="14" numFmtId="0" xfId="0" applyBorder="1" applyFill="1" applyFont="1"/>
    <xf borderId="97" fillId="15" fontId="14" numFmtId="0" xfId="0" applyBorder="1" applyFill="1" applyFont="1"/>
    <xf borderId="59" fillId="15" fontId="14" numFmtId="0" xfId="0" applyBorder="1" applyFill="1" applyFont="1"/>
    <xf borderId="44" fillId="2" fontId="14" numFmtId="0" xfId="0" applyBorder="1" applyFill="1" applyFont="1"/>
    <xf borderId="73" fillId="0" fontId="14" numFmtId="0" xfId="0" applyBorder="1" applyFont="1"/>
    <xf borderId="59" fillId="0" fontId="14" numFmtId="0" xfId="0" applyBorder="1" applyFont="1"/>
    <xf borderId="98" fillId="0" fontId="14" numFmtId="0" xfId="0" applyBorder="1" applyFont="1"/>
    <xf borderId="99" fillId="0" fontId="14" numFmtId="0" xfId="0" applyBorder="1" applyFont="1"/>
    <xf borderId="48" fillId="0" fontId="14" numFmtId="0" xfId="0" applyBorder="1" applyFont="1"/>
    <xf borderId="100" fillId="0" fontId="14" numFmtId="0" xfId="0" applyBorder="1" applyFont="1"/>
    <xf borderId="45" fillId="0" fontId="14" numFmtId="0" xfId="0" applyBorder="1" applyFont="1"/>
    <xf borderId="15" fillId="3" fontId="4" numFmtId="0" xfId="0" applyAlignment="1" applyBorder="1" applyFill="1" applyFont="1">
      <alignment horizontal="center" shrinkToFit="0" vertical="center" wrapText="1"/>
    </xf>
    <xf borderId="26" fillId="4" fontId="4" numFmtId="0" xfId="0" applyAlignment="1" applyBorder="1" applyFill="1" applyFont="1">
      <alignment horizontal="center" shrinkToFit="0" vertical="center" wrapText="1"/>
    </xf>
    <xf borderId="19" fillId="5" fontId="4" numFmtId="0" xfId="0" applyAlignment="1" applyBorder="1" applyFill="1" applyFont="1">
      <alignment horizontal="center" shrinkToFit="0" vertical="center" wrapText="1"/>
    </xf>
    <xf borderId="101" fillId="0" fontId="3" numFmtId="0" xfId="0" applyBorder="1" applyFont="1"/>
    <xf borderId="102" fillId="0" fontId="3" numFmtId="0" xfId="0" applyBorder="1" applyFont="1"/>
    <xf borderId="45" fillId="4" fontId="4" numFmtId="0" xfId="0" applyAlignment="1" applyBorder="1" applyFill="1" applyFont="1">
      <alignment horizontal="center" shrinkToFit="0" vertical="center" wrapText="1"/>
    </xf>
    <xf borderId="48" fillId="4" fontId="4" numFmtId="0" xfId="0" applyAlignment="1" applyBorder="1" applyFill="1" applyFont="1">
      <alignment horizontal="center" shrinkToFit="0" vertical="center" wrapText="1"/>
    </xf>
    <xf borderId="103" fillId="0" fontId="3" numFmtId="0" xfId="0" applyBorder="1" applyFont="1"/>
    <xf borderId="8" fillId="6" fontId="4" numFmtId="0" xfId="0" applyAlignment="1" applyBorder="1" applyFill="1" applyFont="1">
      <alignment horizontal="left" shrinkToFit="0" vertical="center" wrapText="1"/>
    </xf>
    <xf borderId="24" fillId="0" fontId="1" numFmtId="164" xfId="0" applyBorder="1" applyFont="1" applyNumberFormat="1"/>
    <xf borderId="61" fillId="0" fontId="1" numFmtId="164" xfId="0" applyBorder="1" applyFont="1" applyNumberFormat="1"/>
    <xf borderId="52" fillId="0" fontId="1" numFmtId="164" xfId="0" applyBorder="1" applyFont="1" applyNumberFormat="1"/>
    <xf borderId="80" fillId="0" fontId="1" numFmtId="164" xfId="0" applyBorder="1" applyFont="1" applyNumberFormat="1"/>
    <xf borderId="10" fillId="0" fontId="1" numFmtId="0" xfId="0" applyBorder="1" applyFont="1"/>
    <xf borderId="8" fillId="0" fontId="1" numFmtId="164" xfId="0" applyBorder="1" applyFont="1" applyNumberFormat="1"/>
    <xf borderId="16" fillId="0" fontId="1" numFmtId="164" xfId="0" applyBorder="1" applyFont="1" applyNumberFormat="1"/>
    <xf borderId="104" fillId="9" fontId="4" numFmtId="164" xfId="0" applyAlignment="1" applyBorder="1" applyFill="1" applyFont="1" applyNumberFormat="1">
      <alignment horizontal="center" shrinkToFit="0" vertical="center" wrapText="1"/>
    </xf>
    <xf borderId="0" fillId="0" fontId="1" numFmtId="3" xfId="0" applyFont="1" applyNumberFormat="1"/>
    <xf borderId="0" fillId="0" fontId="1" numFmtId="164" xfId="0" applyFont="1" applyNumberFormat="1"/>
    <xf borderId="36" fillId="0" fontId="1" numFmtId="0" xfId="0" applyBorder="1" applyFont="1"/>
    <xf borderId="36" fillId="0" fontId="1" numFmtId="164" xfId="0" applyBorder="1" applyFont="1" applyNumberFormat="1"/>
    <xf borderId="36" fillId="9" fontId="4" numFmtId="164" xfId="0" applyAlignment="1" applyBorder="1" applyFill="1" applyFont="1" applyNumberFormat="1">
      <alignment horizontal="center" shrinkToFit="0" vertical="center" wrapText="1"/>
    </xf>
    <xf borderId="66" fillId="0" fontId="1" numFmtId="164" xfId="0" applyBorder="1" applyFont="1" applyNumberFormat="1"/>
    <xf borderId="7" fillId="6" fontId="4" numFmtId="0" xfId="0" applyAlignment="1" applyBorder="1" applyFill="1" applyFont="1">
      <alignment horizontal="left" shrinkToFit="0" vertical="center" wrapText="1"/>
    </xf>
    <xf borderId="26" fillId="0" fontId="1" numFmtId="9" xfId="0" applyAlignment="1" applyBorder="1" applyFont="1" applyNumberFormat="1">
      <alignment horizontal="left"/>
    </xf>
    <xf borderId="26" fillId="0" fontId="1" numFmtId="164" xfId="0" applyBorder="1" applyFont="1" applyNumberFormat="1"/>
    <xf borderId="105" fillId="0" fontId="1" numFmtId="164" xfId="0" applyBorder="1" applyFont="1" applyNumberFormat="1"/>
    <xf borderId="47" fillId="0" fontId="1" numFmtId="9" xfId="0" applyAlignment="1" applyBorder="1" applyFont="1" applyNumberFormat="1">
      <alignment horizontal="left"/>
    </xf>
    <xf borderId="47" fillId="0" fontId="1" numFmtId="164" xfId="0" applyBorder="1" applyFont="1" applyNumberFormat="1"/>
    <xf borderId="67" fillId="0" fontId="1" numFmtId="9" xfId="0" applyAlignment="1" applyBorder="1" applyFont="1" applyNumberFormat="1">
      <alignment horizontal="left"/>
    </xf>
    <xf borderId="67" fillId="0" fontId="1" numFmtId="164" xfId="0" applyBorder="1" applyFont="1" applyNumberFormat="1"/>
  </cellXfs>
  <cellStyles count="1">
    <cellStyle xfId="0" name="Normal" builtinId="0"/>
  </cellStyles>
  <dxfs count="3">
    <dxf>
      <font>
        <b/>
        <color rgb="FFFF0000"/>
      </font>
      <fill>
        <patternFill patternType="none"/>
      </fill>
      <border/>
    </dxf>
    <dxf>
      <font>
        <b/>
        <color rgb="FFC00000"/>
      </font>
      <fill>
        <patternFill patternType="solid">
          <fgColor rgb="FFFFC7CE"/>
          <bgColor rgb="FFFFC7CE"/>
        </patternFill>
      </fill>
      <border/>
    </dxf>
    <dxf>
      <font>
        <color rgb="FF0070C0"/>
      </font>
      <fill>
        <patternFill patternType="solid">
          <fgColor rgb="FF0070C0"/>
          <bgColor rgb="FF0070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.43"/>
    <col customWidth="1" min="3" max="3" width="48.71"/>
    <col customWidth="1" min="4" max="4" width="15.71"/>
    <col customWidth="1" min="5" max="5" width="12.86"/>
    <col customWidth="1" min="6" max="6" width="11.43"/>
    <col customWidth="1" min="7" max="7" width="13.86"/>
    <col customWidth="1" min="8" max="8" width="14.29"/>
    <col customWidth="1" min="9" max="9" width="12.71"/>
    <col customWidth="1" min="10" max="10" width="15.71"/>
    <col customWidth="1" min="11" max="11" width="13.57"/>
    <col customWidth="1" min="12" max="12" width="12.29"/>
    <col customWidth="1" min="13" max="13" width="11.29"/>
    <col customWidth="1" min="14" max="16" width="11.43"/>
    <col customWidth="1" min="17" max="17" width="15.29"/>
    <col customWidth="1" min="18" max="18" width="24.71"/>
    <col customWidth="1" min="19" max="20" width="11.43"/>
    <col customWidth="1" min="21" max="21" width="15.71"/>
    <col customWidth="1" min="22" max="27" width="11.43"/>
  </cols>
  <sheetData>
    <row r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2"/>
      <c r="V1" s="2"/>
      <c r="W1" s="2"/>
      <c r="X1" s="2"/>
      <c r="Y1" s="2"/>
      <c r="Z1" s="2"/>
      <c r="AA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7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2"/>
      <c r="V3" s="2"/>
      <c r="W3" s="2"/>
      <c r="X3" s="2"/>
      <c r="Y3" s="2"/>
      <c r="Z3" s="2"/>
      <c r="AA3" s="2"/>
    </row>
    <row r="4" ht="15.0" customHeight="1">
      <c r="A4" s="1"/>
      <c r="B4" s="11"/>
      <c r="C4" s="11"/>
      <c r="D4" s="14" t="s">
        <v>9</v>
      </c>
      <c r="E4" s="16"/>
      <c r="F4" s="16"/>
      <c r="G4" s="16"/>
      <c r="H4" s="19"/>
      <c r="I4" s="21" t="s">
        <v>12</v>
      </c>
      <c r="J4" s="16"/>
      <c r="K4" s="16"/>
      <c r="L4" s="16"/>
      <c r="M4" s="16"/>
      <c r="N4" s="16"/>
      <c r="O4" s="16"/>
      <c r="P4" s="16"/>
      <c r="Q4" s="19"/>
      <c r="R4" s="25" t="s">
        <v>14</v>
      </c>
      <c r="S4" s="29" t="s">
        <v>16</v>
      </c>
      <c r="T4" s="30" t="s">
        <v>19</v>
      </c>
      <c r="U4" s="2"/>
      <c r="V4" s="2"/>
      <c r="W4" s="2"/>
      <c r="X4" s="2"/>
      <c r="Y4" s="2"/>
      <c r="Z4" s="2"/>
      <c r="AA4" s="2"/>
    </row>
    <row r="5" ht="15.75" customHeight="1">
      <c r="A5" s="1"/>
      <c r="B5" s="34" t="s">
        <v>23</v>
      </c>
      <c r="C5" s="38" t="s">
        <v>28</v>
      </c>
      <c r="D5" s="41" t="s">
        <v>15</v>
      </c>
      <c r="E5" s="43" t="s">
        <v>31</v>
      </c>
      <c r="F5" s="41" t="s">
        <v>33</v>
      </c>
      <c r="G5" s="43" t="s">
        <v>35</v>
      </c>
      <c r="H5" s="50" t="s">
        <v>38</v>
      </c>
      <c r="I5" s="53" t="s">
        <v>15</v>
      </c>
      <c r="J5" s="55"/>
      <c r="K5" s="58" t="s">
        <v>45</v>
      </c>
      <c r="L5" s="61"/>
      <c r="M5" s="53" t="s">
        <v>49</v>
      </c>
      <c r="N5" s="55"/>
      <c r="O5" s="58" t="s">
        <v>35</v>
      </c>
      <c r="P5" s="61"/>
      <c r="Q5" s="67" t="s">
        <v>50</v>
      </c>
      <c r="R5" s="70"/>
      <c r="S5" s="71"/>
      <c r="T5" s="70"/>
      <c r="U5" s="2"/>
      <c r="V5" s="2"/>
      <c r="W5" s="2"/>
      <c r="X5" s="2"/>
      <c r="Y5" s="2"/>
      <c r="Z5" s="2"/>
      <c r="AA5" s="2"/>
    </row>
    <row r="6" ht="14.25" customHeight="1">
      <c r="A6" s="1"/>
      <c r="B6" s="75"/>
      <c r="C6" s="42"/>
      <c r="D6" s="42"/>
      <c r="E6" s="80"/>
      <c r="F6" s="42"/>
      <c r="G6" s="80"/>
      <c r="H6" s="75"/>
      <c r="I6" s="84" t="s">
        <v>55</v>
      </c>
      <c r="J6" s="87" t="s">
        <v>44</v>
      </c>
      <c r="K6" s="90" t="s">
        <v>55</v>
      </c>
      <c r="L6" s="87" t="s">
        <v>44</v>
      </c>
      <c r="M6" s="84" t="s">
        <v>55</v>
      </c>
      <c r="N6" s="87" t="s">
        <v>44</v>
      </c>
      <c r="O6" s="90" t="s">
        <v>55</v>
      </c>
      <c r="P6" s="87" t="s">
        <v>44</v>
      </c>
      <c r="Q6" s="42"/>
      <c r="R6" s="42"/>
      <c r="S6" s="75"/>
      <c r="T6" s="42"/>
      <c r="U6" s="2"/>
      <c r="V6" s="2"/>
      <c r="W6" s="2"/>
      <c r="X6" s="2"/>
      <c r="Y6" s="2"/>
      <c r="Z6" s="2"/>
      <c r="AA6" s="2"/>
    </row>
    <row r="7" ht="14.25" customHeight="1">
      <c r="A7" s="1"/>
      <c r="B7" s="93" t="s">
        <v>63</v>
      </c>
      <c r="C7" s="95" t="s">
        <v>64</v>
      </c>
      <c r="D7" s="97">
        <v>5.5E8</v>
      </c>
      <c r="E7" s="98">
        <v>2.0E8</v>
      </c>
      <c r="F7" s="99">
        <v>1.5E7</v>
      </c>
      <c r="G7" s="98">
        <v>1.32E8</v>
      </c>
      <c r="H7" s="104">
        <f t="shared" ref="H7:H17" si="1">SUM(D7:G7)</f>
        <v>897000000</v>
      </c>
      <c r="I7" s="106">
        <v>6.0E8</v>
      </c>
      <c r="J7" s="108">
        <v>1.0E8</v>
      </c>
      <c r="K7" s="110">
        <v>2.0E8</v>
      </c>
      <c r="L7" s="111">
        <v>5.0E7</v>
      </c>
      <c r="M7" s="113">
        <v>4.0E7</v>
      </c>
      <c r="N7" s="115"/>
      <c r="O7" s="117">
        <v>5000000.0</v>
      </c>
      <c r="P7" s="119"/>
      <c r="Q7" s="121">
        <f t="shared" ref="Q7:Q16" si="2">SUM(I7:P7)</f>
        <v>995000000</v>
      </c>
      <c r="R7" s="125">
        <f t="shared" ref="R7:R17" si="3">+H7+Q7</f>
        <v>1892000000</v>
      </c>
      <c r="S7" s="129">
        <v>1.0</v>
      </c>
      <c r="T7" s="131">
        <v>60.0</v>
      </c>
      <c r="U7" s="133"/>
      <c r="V7" s="133"/>
      <c r="W7" s="133"/>
      <c r="X7" s="133"/>
      <c r="Y7" s="2"/>
      <c r="Z7" s="133"/>
      <c r="AA7" s="133"/>
    </row>
    <row r="8" ht="14.25" customHeight="1">
      <c r="A8" s="1"/>
      <c r="B8" s="135" t="s">
        <v>73</v>
      </c>
      <c r="C8" s="136" t="s">
        <v>85</v>
      </c>
      <c r="D8" s="97">
        <v>4.0E8</v>
      </c>
      <c r="E8" s="98">
        <v>7.5E7</v>
      </c>
      <c r="F8" s="99">
        <v>1.5E7</v>
      </c>
      <c r="G8" s="137">
        <v>4.0E7</v>
      </c>
      <c r="H8" s="139">
        <f t="shared" si="1"/>
        <v>530000000</v>
      </c>
      <c r="I8" s="140">
        <v>4.0E7</v>
      </c>
      <c r="J8" s="140">
        <v>2.26E8</v>
      </c>
      <c r="K8" s="140">
        <v>1.0E7</v>
      </c>
      <c r="L8" s="140">
        <v>1.0E8</v>
      </c>
      <c r="M8" s="140"/>
      <c r="N8" s="140"/>
      <c r="O8" s="140"/>
      <c r="P8" s="140"/>
      <c r="Q8" s="121">
        <f t="shared" si="2"/>
        <v>376000000</v>
      </c>
      <c r="R8" s="125">
        <f t="shared" si="3"/>
        <v>906000000</v>
      </c>
      <c r="S8" s="141">
        <v>4.0</v>
      </c>
      <c r="T8" s="142">
        <v>53.0</v>
      </c>
      <c r="U8" s="133"/>
      <c r="V8" s="133"/>
      <c r="W8" s="133"/>
      <c r="X8" s="133"/>
      <c r="Y8" s="2"/>
      <c r="Z8" s="133"/>
      <c r="AA8" s="133"/>
    </row>
    <row r="9" ht="14.25" customHeight="1">
      <c r="A9" s="1"/>
      <c r="B9" s="135" t="s">
        <v>84</v>
      </c>
      <c r="C9" s="136" t="s">
        <v>97</v>
      </c>
      <c r="D9" s="97">
        <v>4.0E8</v>
      </c>
      <c r="E9" s="98">
        <v>7.5E7</v>
      </c>
      <c r="F9" s="99">
        <v>1.5E7</v>
      </c>
      <c r="G9" s="137">
        <v>4.0E7</v>
      </c>
      <c r="H9" s="144">
        <f t="shared" si="1"/>
        <v>530000000</v>
      </c>
      <c r="I9" s="146">
        <v>4.0E7</v>
      </c>
      <c r="J9" s="146">
        <v>1.29E8</v>
      </c>
      <c r="K9" s="146">
        <v>1.0E7</v>
      </c>
      <c r="L9" s="146">
        <v>5.0E7</v>
      </c>
      <c r="M9" s="146"/>
      <c r="N9" s="146"/>
      <c r="O9" s="146"/>
      <c r="P9" s="146"/>
      <c r="Q9" s="121">
        <f t="shared" si="2"/>
        <v>229000000</v>
      </c>
      <c r="R9" s="147">
        <f t="shared" si="3"/>
        <v>759000000</v>
      </c>
      <c r="S9" s="141">
        <v>4.0</v>
      </c>
      <c r="T9" s="142">
        <v>53.0</v>
      </c>
      <c r="U9" s="133"/>
      <c r="V9" s="133"/>
      <c r="W9" s="133"/>
      <c r="X9" s="133"/>
      <c r="Y9" s="2"/>
      <c r="Z9" s="133"/>
      <c r="AA9" s="133"/>
    </row>
    <row r="10" ht="14.25" customHeight="1">
      <c r="A10" s="1"/>
      <c r="B10" s="135" t="s">
        <v>88</v>
      </c>
      <c r="C10" s="136" t="s">
        <v>101</v>
      </c>
      <c r="D10" s="97">
        <v>4.0E8</v>
      </c>
      <c r="E10" s="98">
        <v>7.5E7</v>
      </c>
      <c r="F10" s="99">
        <v>1.5E7</v>
      </c>
      <c r="G10" s="137">
        <v>3.8E7</v>
      </c>
      <c r="H10" s="144">
        <f t="shared" si="1"/>
        <v>528000000</v>
      </c>
      <c r="I10" s="150">
        <v>4.0E7</v>
      </c>
      <c r="J10" s="150">
        <v>1.0E8</v>
      </c>
      <c r="K10" s="150">
        <v>1.0E7</v>
      </c>
      <c r="L10" s="150">
        <v>5.0E7</v>
      </c>
      <c r="M10" s="150"/>
      <c r="N10" s="150"/>
      <c r="O10" s="150"/>
      <c r="P10" s="150"/>
      <c r="Q10" s="121">
        <f t="shared" si="2"/>
        <v>200000000</v>
      </c>
      <c r="R10" s="147">
        <f t="shared" si="3"/>
        <v>728000000</v>
      </c>
      <c r="S10" s="141">
        <v>4.0</v>
      </c>
      <c r="T10" s="142">
        <v>53.0</v>
      </c>
      <c r="U10" s="133"/>
      <c r="V10" s="133"/>
      <c r="W10" s="133"/>
      <c r="X10" s="133"/>
      <c r="Y10" s="2"/>
      <c r="Z10" s="133"/>
      <c r="AA10" s="133"/>
    </row>
    <row r="11" ht="14.25" customHeight="1">
      <c r="A11" s="1"/>
      <c r="B11" s="135" t="s">
        <v>94</v>
      </c>
      <c r="C11" s="136" t="s">
        <v>102</v>
      </c>
      <c r="D11" s="97">
        <v>3.75E8</v>
      </c>
      <c r="E11" s="98">
        <v>7.5E7</v>
      </c>
      <c r="F11" s="99">
        <v>1.5E7</v>
      </c>
      <c r="G11" s="137">
        <v>5.0E7</v>
      </c>
      <c r="H11" s="144">
        <f t="shared" si="1"/>
        <v>515000000</v>
      </c>
      <c r="I11" s="150">
        <v>4.0E7</v>
      </c>
      <c r="J11" s="150">
        <v>1.0E8</v>
      </c>
      <c r="K11" s="150">
        <v>1.0E7</v>
      </c>
      <c r="L11" s="150">
        <v>5.0E7</v>
      </c>
      <c r="M11" s="150"/>
      <c r="N11" s="150"/>
      <c r="O11" s="150"/>
      <c r="P11" s="150"/>
      <c r="Q11" s="121">
        <f t="shared" si="2"/>
        <v>200000000</v>
      </c>
      <c r="R11" s="147">
        <f t="shared" si="3"/>
        <v>715000000</v>
      </c>
      <c r="S11" s="141">
        <v>4.0</v>
      </c>
      <c r="T11" s="142">
        <v>53.0</v>
      </c>
      <c r="U11" s="133"/>
      <c r="V11" s="133"/>
      <c r="W11" s="133"/>
      <c r="X11" s="133"/>
      <c r="Y11" s="2"/>
      <c r="Z11" s="133"/>
      <c r="AA11" s="133"/>
    </row>
    <row r="12" ht="14.25" customHeight="1">
      <c r="A12" s="1"/>
      <c r="B12" s="135"/>
      <c r="C12" s="161"/>
      <c r="D12" s="162"/>
      <c r="E12" s="163"/>
      <c r="F12" s="164"/>
      <c r="G12" s="166"/>
      <c r="H12" s="144">
        <f t="shared" si="1"/>
        <v>0</v>
      </c>
      <c r="I12" s="150"/>
      <c r="J12" s="167"/>
      <c r="K12" s="168"/>
      <c r="L12" s="169"/>
      <c r="M12" s="150"/>
      <c r="N12" s="167"/>
      <c r="O12" s="168"/>
      <c r="P12" s="169"/>
      <c r="Q12" s="121">
        <f t="shared" si="2"/>
        <v>0</v>
      </c>
      <c r="R12" s="147">
        <f t="shared" si="3"/>
        <v>0</v>
      </c>
      <c r="S12" s="172"/>
      <c r="T12" s="173"/>
      <c r="U12" s="2"/>
      <c r="V12" s="2"/>
      <c r="W12" s="2"/>
      <c r="X12" s="2"/>
      <c r="Y12" s="2"/>
      <c r="Z12" s="2"/>
      <c r="AA12" s="2"/>
    </row>
    <row r="13" ht="14.25" customHeight="1">
      <c r="A13" s="1"/>
      <c r="B13" s="135"/>
      <c r="C13" s="161"/>
      <c r="D13" s="162"/>
      <c r="E13" s="163"/>
      <c r="F13" s="164"/>
      <c r="G13" s="166"/>
      <c r="H13" s="144">
        <f t="shared" si="1"/>
        <v>0</v>
      </c>
      <c r="I13" s="150"/>
      <c r="J13" s="167"/>
      <c r="K13" s="168"/>
      <c r="L13" s="169"/>
      <c r="M13" s="150"/>
      <c r="N13" s="167"/>
      <c r="O13" s="168"/>
      <c r="P13" s="169"/>
      <c r="Q13" s="121">
        <f t="shared" si="2"/>
        <v>0</v>
      </c>
      <c r="R13" s="147">
        <f t="shared" si="3"/>
        <v>0</v>
      </c>
      <c r="S13" s="172"/>
      <c r="T13" s="173"/>
      <c r="U13" s="2"/>
      <c r="V13" s="2"/>
      <c r="W13" s="2"/>
      <c r="X13" s="2"/>
      <c r="Y13" s="2"/>
      <c r="Z13" s="2"/>
      <c r="AA13" s="2"/>
    </row>
    <row r="14" ht="14.25" customHeight="1">
      <c r="A14" s="1"/>
      <c r="B14" s="135"/>
      <c r="C14" s="161"/>
      <c r="D14" s="162"/>
      <c r="E14" s="163"/>
      <c r="F14" s="164"/>
      <c r="G14" s="166"/>
      <c r="H14" s="144">
        <f t="shared" si="1"/>
        <v>0</v>
      </c>
      <c r="I14" s="150"/>
      <c r="J14" s="167"/>
      <c r="K14" s="168"/>
      <c r="L14" s="169"/>
      <c r="M14" s="150"/>
      <c r="N14" s="167"/>
      <c r="O14" s="168"/>
      <c r="P14" s="169"/>
      <c r="Q14" s="121">
        <f t="shared" si="2"/>
        <v>0</v>
      </c>
      <c r="R14" s="147">
        <f t="shared" si="3"/>
        <v>0</v>
      </c>
      <c r="S14" s="172"/>
      <c r="T14" s="173"/>
      <c r="U14" s="2"/>
      <c r="V14" s="2"/>
      <c r="W14" s="2"/>
      <c r="X14" s="2"/>
      <c r="Y14" s="2"/>
      <c r="Z14" s="2"/>
      <c r="AA14" s="2"/>
    </row>
    <row r="15" ht="14.25" customHeight="1">
      <c r="A15" s="1"/>
      <c r="B15" s="135"/>
      <c r="C15" s="161"/>
      <c r="D15" s="162"/>
      <c r="E15" s="163"/>
      <c r="F15" s="164"/>
      <c r="G15" s="166"/>
      <c r="H15" s="144">
        <f t="shared" si="1"/>
        <v>0</v>
      </c>
      <c r="I15" s="150"/>
      <c r="J15" s="167"/>
      <c r="K15" s="168"/>
      <c r="L15" s="169"/>
      <c r="M15" s="150"/>
      <c r="N15" s="167"/>
      <c r="O15" s="168"/>
      <c r="P15" s="169"/>
      <c r="Q15" s="121">
        <f t="shared" si="2"/>
        <v>0</v>
      </c>
      <c r="R15" s="147">
        <f t="shared" si="3"/>
        <v>0</v>
      </c>
      <c r="S15" s="172"/>
      <c r="T15" s="173"/>
      <c r="U15" s="2"/>
      <c r="V15" s="2"/>
      <c r="W15" s="2"/>
      <c r="X15" s="2"/>
      <c r="Y15" s="2"/>
      <c r="Z15" s="2"/>
      <c r="AA15" s="2"/>
    </row>
    <row r="16" ht="14.25" customHeight="1">
      <c r="A16" s="1"/>
      <c r="B16" s="135"/>
      <c r="C16" s="161"/>
      <c r="D16" s="162"/>
      <c r="E16" s="163"/>
      <c r="F16" s="164"/>
      <c r="G16" s="166"/>
      <c r="H16" s="144">
        <f t="shared" si="1"/>
        <v>0</v>
      </c>
      <c r="I16" s="150"/>
      <c r="J16" s="167"/>
      <c r="K16" s="168"/>
      <c r="L16" s="169"/>
      <c r="M16" s="150"/>
      <c r="N16" s="167"/>
      <c r="O16" s="168"/>
      <c r="P16" s="169"/>
      <c r="Q16" s="121">
        <f t="shared" si="2"/>
        <v>0</v>
      </c>
      <c r="R16" s="147">
        <f t="shared" si="3"/>
        <v>0</v>
      </c>
      <c r="S16" s="172"/>
      <c r="T16" s="173"/>
      <c r="U16" s="2"/>
      <c r="V16" s="2"/>
      <c r="W16" s="2"/>
      <c r="X16" s="2"/>
      <c r="Y16" s="2"/>
      <c r="Z16" s="2"/>
      <c r="AA16" s="2"/>
    </row>
    <row r="17" ht="15.0" customHeight="1">
      <c r="A17" s="1"/>
      <c r="B17" s="176"/>
      <c r="C17" s="178"/>
      <c r="D17" s="162"/>
      <c r="E17" s="163"/>
      <c r="F17" s="164"/>
      <c r="G17" s="166"/>
      <c r="H17" s="144">
        <f t="shared" si="1"/>
        <v>0</v>
      </c>
      <c r="I17" s="150"/>
      <c r="J17" s="167"/>
      <c r="K17" s="168"/>
      <c r="L17" s="169"/>
      <c r="M17" s="150"/>
      <c r="N17" s="167"/>
      <c r="O17" s="168"/>
      <c r="P17" s="169"/>
      <c r="Q17" s="183">
        <f>+M17+N17</f>
        <v>0</v>
      </c>
      <c r="R17" s="147">
        <f t="shared" si="3"/>
        <v>0</v>
      </c>
      <c r="S17" s="184"/>
      <c r="T17" s="185"/>
      <c r="U17" s="2"/>
      <c r="V17" s="2"/>
      <c r="W17" s="2"/>
      <c r="X17" s="2"/>
      <c r="Y17" s="2"/>
      <c r="Z17" s="2"/>
      <c r="AA17" s="2"/>
    </row>
    <row r="18" ht="14.25" customHeight="1">
      <c r="A18" s="1"/>
      <c r="B18" s="187"/>
      <c r="C18" s="188" t="s">
        <v>115</v>
      </c>
      <c r="D18" s="189">
        <f t="shared" ref="D18:R18" si="4">SUM(D7:D17)</f>
        <v>2125000000</v>
      </c>
      <c r="E18" s="192">
        <f t="shared" si="4"/>
        <v>500000000</v>
      </c>
      <c r="F18" s="189">
        <f t="shared" si="4"/>
        <v>75000000</v>
      </c>
      <c r="G18" s="192">
        <f t="shared" si="4"/>
        <v>300000000</v>
      </c>
      <c r="H18" s="197">
        <f t="shared" si="4"/>
        <v>3000000000</v>
      </c>
      <c r="I18" s="201">
        <f t="shared" si="4"/>
        <v>760000000</v>
      </c>
      <c r="J18" s="203">
        <f t="shared" si="4"/>
        <v>655000000</v>
      </c>
      <c r="K18" s="205">
        <f t="shared" si="4"/>
        <v>240000000</v>
      </c>
      <c r="L18" s="206">
        <f t="shared" si="4"/>
        <v>300000000</v>
      </c>
      <c r="M18" s="201">
        <f t="shared" si="4"/>
        <v>40000000</v>
      </c>
      <c r="N18" s="203">
        <f t="shared" si="4"/>
        <v>0</v>
      </c>
      <c r="O18" s="205">
        <f t="shared" si="4"/>
        <v>5000000</v>
      </c>
      <c r="P18" s="206">
        <f t="shared" si="4"/>
        <v>0</v>
      </c>
      <c r="Q18" s="209">
        <f t="shared" si="4"/>
        <v>2000000000</v>
      </c>
      <c r="R18" s="211">
        <f t="shared" si="4"/>
        <v>5000000000</v>
      </c>
      <c r="S18" s="212"/>
      <c r="T18" s="212"/>
      <c r="U18" s="2"/>
      <c r="V18" s="2"/>
      <c r="W18" s="2"/>
      <c r="X18" s="2"/>
      <c r="Y18" s="2"/>
      <c r="Z18" s="2"/>
      <c r="AA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133"/>
      <c r="K20" s="2"/>
      <c r="L20" s="13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133"/>
      <c r="K21" s="133"/>
      <c r="L21" s="13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133"/>
      <c r="K22" s="133"/>
      <c r="L22" s="13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133"/>
      <c r="J23" s="133"/>
      <c r="K23" s="133"/>
      <c r="L23" s="13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133"/>
      <c r="J25" s="133"/>
      <c r="K25" s="133"/>
      <c r="L25" s="13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133"/>
      <c r="K27" s="13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"/>
      <c r="V47" s="2"/>
      <c r="W47" s="2"/>
      <c r="X47" s="2"/>
      <c r="Y47" s="2"/>
      <c r="Z47" s="2"/>
      <c r="AA47" s="2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"/>
      <c r="V48" s="2"/>
      <c r="W48" s="2"/>
      <c r="X48" s="2"/>
      <c r="Y48" s="2"/>
      <c r="Z48" s="2"/>
      <c r="AA48" s="2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"/>
      <c r="V49" s="2"/>
      <c r="W49" s="2"/>
      <c r="X49" s="2"/>
      <c r="Y49" s="2"/>
      <c r="Z49" s="2"/>
      <c r="AA49" s="2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2"/>
      <c r="V50" s="2"/>
      <c r="W50" s="2"/>
      <c r="X50" s="2"/>
      <c r="Y50" s="2"/>
      <c r="Z50" s="2"/>
      <c r="AA50" s="2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2"/>
      <c r="V51" s="2"/>
      <c r="W51" s="2"/>
      <c r="X51" s="2"/>
      <c r="Y51" s="2"/>
      <c r="Z51" s="2"/>
      <c r="AA51" s="2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2"/>
      <c r="V52" s="2"/>
      <c r="W52" s="2"/>
      <c r="X52" s="2"/>
      <c r="Y52" s="2"/>
      <c r="Z52" s="2"/>
      <c r="AA52" s="2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2"/>
      <c r="V53" s="2"/>
      <c r="W53" s="2"/>
      <c r="X53" s="2"/>
      <c r="Y53" s="2"/>
      <c r="Z53" s="2"/>
      <c r="AA53" s="2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2"/>
      <c r="V54" s="2"/>
      <c r="W54" s="2"/>
      <c r="X54" s="2"/>
      <c r="Y54" s="2"/>
      <c r="Z54" s="2"/>
      <c r="AA54" s="2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2"/>
      <c r="V55" s="2"/>
      <c r="W55" s="2"/>
      <c r="X55" s="2"/>
      <c r="Y55" s="2"/>
      <c r="Z55" s="2"/>
      <c r="AA55" s="2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"/>
      <c r="V56" s="2"/>
      <c r="W56" s="2"/>
      <c r="X56" s="2"/>
      <c r="Y56" s="2"/>
      <c r="Z56" s="2"/>
      <c r="AA56" s="2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/>
      <c r="V57" s="2"/>
      <c r="W57" s="2"/>
      <c r="X57" s="2"/>
      <c r="Y57" s="2"/>
      <c r="Z57" s="2"/>
      <c r="AA57" s="2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"/>
      <c r="V58" s="2"/>
      <c r="W58" s="2"/>
      <c r="X58" s="2"/>
      <c r="Y58" s="2"/>
      <c r="Z58" s="2"/>
      <c r="AA58" s="2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"/>
      <c r="V59" s="2"/>
      <c r="W59" s="2"/>
      <c r="X59" s="2"/>
      <c r="Y59" s="2"/>
      <c r="Z59" s="2"/>
      <c r="AA59" s="2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"/>
      <c r="V60" s="2"/>
      <c r="W60" s="2"/>
      <c r="X60" s="2"/>
      <c r="Y60" s="2"/>
      <c r="Z60" s="2"/>
      <c r="AA60" s="2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"/>
      <c r="V61" s="2"/>
      <c r="W61" s="2"/>
      <c r="X61" s="2"/>
      <c r="Y61" s="2"/>
      <c r="Z61" s="2"/>
      <c r="AA61" s="2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"/>
      <c r="W62" s="2"/>
      <c r="X62" s="2"/>
      <c r="Y62" s="2"/>
      <c r="Z62" s="2"/>
      <c r="AA62" s="2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"/>
      <c r="V63" s="2"/>
      <c r="W63" s="2"/>
      <c r="X63" s="2"/>
      <c r="Y63" s="2"/>
      <c r="Z63" s="2"/>
      <c r="AA63" s="2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2"/>
      <c r="W64" s="2"/>
      <c r="X64" s="2"/>
      <c r="Y64" s="2"/>
      <c r="Z64" s="2"/>
      <c r="AA64" s="2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"/>
      <c r="V65" s="2"/>
      <c r="W65" s="2"/>
      <c r="X65" s="2"/>
      <c r="Y65" s="2"/>
      <c r="Z65" s="2"/>
      <c r="AA65" s="2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"/>
      <c r="V66" s="2"/>
      <c r="W66" s="2"/>
      <c r="X66" s="2"/>
      <c r="Y66" s="2"/>
      <c r="Z66" s="2"/>
      <c r="AA66" s="2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"/>
      <c r="V67" s="2"/>
      <c r="W67" s="2"/>
      <c r="X67" s="2"/>
      <c r="Y67" s="2"/>
      <c r="Z67" s="2"/>
      <c r="AA67" s="2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"/>
      <c r="V68" s="2"/>
      <c r="W68" s="2"/>
      <c r="X68" s="2"/>
      <c r="Y68" s="2"/>
      <c r="Z68" s="2"/>
      <c r="AA68" s="2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"/>
      <c r="V69" s="2"/>
      <c r="W69" s="2"/>
      <c r="X69" s="2"/>
      <c r="Y69" s="2"/>
      <c r="Z69" s="2"/>
      <c r="AA69" s="2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"/>
      <c r="V70" s="2"/>
      <c r="W70" s="2"/>
      <c r="X70" s="2"/>
      <c r="Y70" s="2"/>
      <c r="Z70" s="2"/>
      <c r="AA70" s="2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"/>
      <c r="V71" s="2"/>
      <c r="W71" s="2"/>
      <c r="X71" s="2"/>
      <c r="Y71" s="2"/>
      <c r="Z71" s="2"/>
      <c r="AA71" s="2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"/>
      <c r="V72" s="2"/>
      <c r="W72" s="2"/>
      <c r="X72" s="2"/>
      <c r="Y72" s="2"/>
      <c r="Z72" s="2"/>
      <c r="AA72" s="2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"/>
      <c r="V73" s="2"/>
      <c r="W73" s="2"/>
      <c r="X73" s="2"/>
      <c r="Y73" s="2"/>
      <c r="Z73" s="2"/>
      <c r="AA73" s="2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"/>
      <c r="V74" s="2"/>
      <c r="W74" s="2"/>
      <c r="X74" s="2"/>
      <c r="Y74" s="2"/>
      <c r="Z74" s="2"/>
      <c r="AA74" s="2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2"/>
      <c r="V75" s="2"/>
      <c r="W75" s="2"/>
      <c r="X75" s="2"/>
      <c r="Y75" s="2"/>
      <c r="Z75" s="2"/>
      <c r="AA75" s="2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2"/>
      <c r="V76" s="2"/>
      <c r="W76" s="2"/>
      <c r="X76" s="2"/>
      <c r="Y76" s="2"/>
      <c r="Z76" s="2"/>
      <c r="AA76" s="2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2"/>
      <c r="V77" s="2"/>
      <c r="W77" s="2"/>
      <c r="X77" s="2"/>
      <c r="Y77" s="2"/>
      <c r="Z77" s="2"/>
      <c r="AA77" s="2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2"/>
      <c r="V78" s="2"/>
      <c r="W78" s="2"/>
      <c r="X78" s="2"/>
      <c r="Y78" s="2"/>
      <c r="Z78" s="2"/>
      <c r="AA78" s="2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2"/>
      <c r="V79" s="2"/>
      <c r="W79" s="2"/>
      <c r="X79" s="2"/>
      <c r="Y79" s="2"/>
      <c r="Z79" s="2"/>
      <c r="AA79" s="2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2"/>
      <c r="V80" s="2"/>
      <c r="W80" s="2"/>
      <c r="X80" s="2"/>
      <c r="Y80" s="2"/>
      <c r="Z80" s="2"/>
      <c r="AA80" s="2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2"/>
      <c r="V81" s="2"/>
      <c r="W81" s="2"/>
      <c r="X81" s="2"/>
      <c r="Y81" s="2"/>
      <c r="Z81" s="2"/>
      <c r="AA81" s="2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2"/>
      <c r="V82" s="2"/>
      <c r="W82" s="2"/>
      <c r="X82" s="2"/>
      <c r="Y82" s="2"/>
      <c r="Z82" s="2"/>
      <c r="AA82" s="2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2"/>
      <c r="V83" s="2"/>
      <c r="W83" s="2"/>
      <c r="X83" s="2"/>
      <c r="Y83" s="2"/>
      <c r="Z83" s="2"/>
      <c r="AA83" s="2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2"/>
      <c r="V84" s="2"/>
      <c r="W84" s="2"/>
      <c r="X84" s="2"/>
      <c r="Y84" s="2"/>
      <c r="Z84" s="2"/>
      <c r="AA84" s="2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2"/>
      <c r="V85" s="2"/>
      <c r="W85" s="2"/>
      <c r="X85" s="2"/>
      <c r="Y85" s="2"/>
      <c r="Z85" s="2"/>
      <c r="AA85" s="2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2"/>
      <c r="V86" s="2"/>
      <c r="W86" s="2"/>
      <c r="X86" s="2"/>
      <c r="Y86" s="2"/>
      <c r="Z86" s="2"/>
      <c r="AA86" s="2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2"/>
      <c r="V87" s="2"/>
      <c r="W87" s="2"/>
      <c r="X87" s="2"/>
      <c r="Y87" s="2"/>
      <c r="Z87" s="2"/>
      <c r="AA87" s="2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2"/>
      <c r="V88" s="2"/>
      <c r="W88" s="2"/>
      <c r="X88" s="2"/>
      <c r="Y88" s="2"/>
      <c r="Z88" s="2"/>
      <c r="AA88" s="2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2"/>
      <c r="V89" s="2"/>
      <c r="W89" s="2"/>
      <c r="X89" s="2"/>
      <c r="Y89" s="2"/>
      <c r="Z89" s="2"/>
      <c r="AA89" s="2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2"/>
      <c r="V90" s="2"/>
      <c r="W90" s="2"/>
      <c r="X90" s="2"/>
      <c r="Y90" s="2"/>
      <c r="Z90" s="2"/>
      <c r="AA90" s="2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2"/>
      <c r="V91" s="2"/>
      <c r="W91" s="2"/>
      <c r="X91" s="2"/>
      <c r="Y91" s="2"/>
      <c r="Z91" s="2"/>
      <c r="AA91" s="2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2"/>
      <c r="V92" s="2"/>
      <c r="W92" s="2"/>
      <c r="X92" s="2"/>
      <c r="Y92" s="2"/>
      <c r="Z92" s="2"/>
      <c r="AA92" s="2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2"/>
      <c r="V93" s="2"/>
      <c r="W93" s="2"/>
      <c r="X93" s="2"/>
      <c r="Y93" s="2"/>
      <c r="Z93" s="2"/>
      <c r="AA93" s="2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2"/>
      <c r="V94" s="2"/>
      <c r="W94" s="2"/>
      <c r="X94" s="2"/>
      <c r="Y94" s="2"/>
      <c r="Z94" s="2"/>
      <c r="AA94" s="2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2"/>
      <c r="V95" s="2"/>
      <c r="W95" s="2"/>
      <c r="X95" s="2"/>
      <c r="Y95" s="2"/>
      <c r="Z95" s="2"/>
      <c r="AA95" s="2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2"/>
      <c r="V96" s="2"/>
      <c r="W96" s="2"/>
      <c r="X96" s="2"/>
      <c r="Y96" s="2"/>
      <c r="Z96" s="2"/>
      <c r="AA96" s="2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2"/>
      <c r="V97" s="2"/>
      <c r="W97" s="2"/>
      <c r="X97" s="2"/>
      <c r="Y97" s="2"/>
      <c r="Z97" s="2"/>
      <c r="AA97" s="2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2"/>
      <c r="V98" s="2"/>
      <c r="W98" s="2"/>
      <c r="X98" s="2"/>
      <c r="Y98" s="2"/>
      <c r="Z98" s="2"/>
      <c r="AA98" s="2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2"/>
      <c r="V99" s="2"/>
      <c r="W99" s="2"/>
      <c r="X99" s="2"/>
      <c r="Y99" s="2"/>
      <c r="Z99" s="2"/>
      <c r="AA99" s="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2"/>
      <c r="V100" s="2"/>
      <c r="W100" s="2"/>
      <c r="X100" s="2"/>
      <c r="Y100" s="2"/>
      <c r="Z100" s="2"/>
      <c r="AA100" s="2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2"/>
      <c r="V101" s="2"/>
      <c r="W101" s="2"/>
      <c r="X101" s="2"/>
      <c r="Y101" s="2"/>
      <c r="Z101" s="2"/>
      <c r="AA101" s="2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2"/>
      <c r="V102" s="2"/>
      <c r="W102" s="2"/>
      <c r="X102" s="2"/>
      <c r="Y102" s="2"/>
      <c r="Z102" s="2"/>
      <c r="AA102" s="2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2"/>
      <c r="V103" s="2"/>
      <c r="W103" s="2"/>
      <c r="X103" s="2"/>
      <c r="Y103" s="2"/>
      <c r="Z103" s="2"/>
      <c r="AA103" s="2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2"/>
      <c r="V104" s="2"/>
      <c r="W104" s="2"/>
      <c r="X104" s="2"/>
      <c r="Y104" s="2"/>
      <c r="Z104" s="2"/>
      <c r="AA104" s="2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2"/>
      <c r="V105" s="2"/>
      <c r="W105" s="2"/>
      <c r="X105" s="2"/>
      <c r="Y105" s="2"/>
      <c r="Z105" s="2"/>
      <c r="AA105" s="2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2"/>
      <c r="V106" s="2"/>
      <c r="W106" s="2"/>
      <c r="X106" s="2"/>
      <c r="Y106" s="2"/>
      <c r="Z106" s="2"/>
      <c r="AA106" s="2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2"/>
      <c r="V107" s="2"/>
      <c r="W107" s="2"/>
      <c r="X107" s="2"/>
      <c r="Y107" s="2"/>
      <c r="Z107" s="2"/>
      <c r="AA107" s="2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2"/>
      <c r="V108" s="2"/>
      <c r="W108" s="2"/>
      <c r="X108" s="2"/>
      <c r="Y108" s="2"/>
      <c r="Z108" s="2"/>
      <c r="AA108" s="2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2"/>
      <c r="V109" s="2"/>
      <c r="W109" s="2"/>
      <c r="X109" s="2"/>
      <c r="Y109" s="2"/>
      <c r="Z109" s="2"/>
      <c r="AA109" s="2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2"/>
      <c r="V110" s="2"/>
      <c r="W110" s="2"/>
      <c r="X110" s="2"/>
      <c r="Y110" s="2"/>
      <c r="Z110" s="2"/>
      <c r="AA110" s="2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2"/>
      <c r="V111" s="2"/>
      <c r="W111" s="2"/>
      <c r="X111" s="2"/>
      <c r="Y111" s="2"/>
      <c r="Z111" s="2"/>
      <c r="AA111" s="2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2"/>
      <c r="V112" s="2"/>
      <c r="W112" s="2"/>
      <c r="X112" s="2"/>
      <c r="Y112" s="2"/>
      <c r="Z112" s="2"/>
      <c r="AA112" s="2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2"/>
      <c r="V113" s="2"/>
      <c r="W113" s="2"/>
      <c r="X113" s="2"/>
      <c r="Y113" s="2"/>
      <c r="Z113" s="2"/>
      <c r="AA113" s="2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2"/>
      <c r="V114" s="2"/>
      <c r="W114" s="2"/>
      <c r="X114" s="2"/>
      <c r="Y114" s="2"/>
      <c r="Z114" s="2"/>
      <c r="AA114" s="2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2"/>
      <c r="V115" s="2"/>
      <c r="W115" s="2"/>
      <c r="X115" s="2"/>
      <c r="Y115" s="2"/>
      <c r="Z115" s="2"/>
      <c r="AA115" s="2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"/>
      <c r="V116" s="2"/>
      <c r="W116" s="2"/>
      <c r="X116" s="2"/>
      <c r="Y116" s="2"/>
      <c r="Z116" s="2"/>
      <c r="AA116" s="2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"/>
      <c r="V117" s="2"/>
      <c r="W117" s="2"/>
      <c r="X117" s="2"/>
      <c r="Y117" s="2"/>
      <c r="Z117" s="2"/>
      <c r="AA117" s="2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"/>
      <c r="V118" s="2"/>
      <c r="W118" s="2"/>
      <c r="X118" s="2"/>
      <c r="Y118" s="2"/>
      <c r="Z118" s="2"/>
      <c r="AA118" s="2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2"/>
      <c r="V119" s="2"/>
      <c r="W119" s="2"/>
      <c r="X119" s="2"/>
      <c r="Y119" s="2"/>
      <c r="Z119" s="2"/>
      <c r="AA119" s="2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2"/>
      <c r="V120" s="2"/>
      <c r="W120" s="2"/>
      <c r="X120" s="2"/>
      <c r="Y120" s="2"/>
      <c r="Z120" s="2"/>
      <c r="AA120" s="2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2"/>
      <c r="V121" s="2"/>
      <c r="W121" s="2"/>
      <c r="X121" s="2"/>
      <c r="Y121" s="2"/>
      <c r="Z121" s="2"/>
      <c r="AA121" s="2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2"/>
      <c r="V122" s="2"/>
      <c r="W122" s="2"/>
      <c r="X122" s="2"/>
      <c r="Y122" s="2"/>
      <c r="Z122" s="2"/>
      <c r="AA122" s="2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2"/>
      <c r="V123" s="2"/>
      <c r="W123" s="2"/>
      <c r="X123" s="2"/>
      <c r="Y123" s="2"/>
      <c r="Z123" s="2"/>
      <c r="AA123" s="2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2"/>
      <c r="V124" s="2"/>
      <c r="W124" s="2"/>
      <c r="X124" s="2"/>
      <c r="Y124" s="2"/>
      <c r="Z124" s="2"/>
      <c r="AA124" s="2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2"/>
      <c r="V125" s="2"/>
      <c r="W125" s="2"/>
      <c r="X125" s="2"/>
      <c r="Y125" s="2"/>
      <c r="Z125" s="2"/>
      <c r="AA125" s="2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"/>
      <c r="V126" s="2"/>
      <c r="W126" s="2"/>
      <c r="X126" s="2"/>
      <c r="Y126" s="2"/>
      <c r="Z126" s="2"/>
      <c r="AA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2"/>
      <c r="V127" s="2"/>
      <c r="W127" s="2"/>
      <c r="X127" s="2"/>
      <c r="Y127" s="2"/>
      <c r="Z127" s="2"/>
      <c r="AA127" s="2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2"/>
      <c r="V128" s="2"/>
      <c r="W128" s="2"/>
      <c r="X128" s="2"/>
      <c r="Y128" s="2"/>
      <c r="Z128" s="2"/>
      <c r="AA128" s="2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2"/>
      <c r="W129" s="2"/>
      <c r="X129" s="2"/>
      <c r="Y129" s="2"/>
      <c r="Z129" s="2"/>
      <c r="AA129" s="2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2"/>
      <c r="V130" s="2"/>
      <c r="W130" s="2"/>
      <c r="X130" s="2"/>
      <c r="Y130" s="2"/>
      <c r="Z130" s="2"/>
      <c r="AA130" s="2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2"/>
      <c r="V131" s="2"/>
      <c r="W131" s="2"/>
      <c r="X131" s="2"/>
      <c r="Y131" s="2"/>
      <c r="Z131" s="2"/>
      <c r="AA131" s="2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"/>
      <c r="V132" s="2"/>
      <c r="W132" s="2"/>
      <c r="X132" s="2"/>
      <c r="Y132" s="2"/>
      <c r="Z132" s="2"/>
      <c r="AA132" s="2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"/>
      <c r="V133" s="2"/>
      <c r="W133" s="2"/>
      <c r="X133" s="2"/>
      <c r="Y133" s="2"/>
      <c r="Z133" s="2"/>
      <c r="AA133" s="2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"/>
      <c r="V134" s="2"/>
      <c r="W134" s="2"/>
      <c r="X134" s="2"/>
      <c r="Y134" s="2"/>
      <c r="Z134" s="2"/>
      <c r="AA134" s="2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2"/>
      <c r="V135" s="2"/>
      <c r="W135" s="2"/>
      <c r="X135" s="2"/>
      <c r="Y135" s="2"/>
      <c r="Z135" s="2"/>
      <c r="AA135" s="2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2"/>
      <c r="V136" s="2"/>
      <c r="W136" s="2"/>
      <c r="X136" s="2"/>
      <c r="Y136" s="2"/>
      <c r="Z136" s="2"/>
      <c r="AA136" s="2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"/>
      <c r="V137" s="2"/>
      <c r="W137" s="2"/>
      <c r="X137" s="2"/>
      <c r="Y137" s="2"/>
      <c r="Z137" s="2"/>
      <c r="AA137" s="2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"/>
      <c r="V138" s="2"/>
      <c r="W138" s="2"/>
      <c r="X138" s="2"/>
      <c r="Y138" s="2"/>
      <c r="Z138" s="2"/>
      <c r="AA138" s="2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"/>
      <c r="V139" s="2"/>
      <c r="W139" s="2"/>
      <c r="X139" s="2"/>
      <c r="Y139" s="2"/>
      <c r="Z139" s="2"/>
      <c r="AA139" s="2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"/>
      <c r="V140" s="2"/>
      <c r="W140" s="2"/>
      <c r="X140" s="2"/>
      <c r="Y140" s="2"/>
      <c r="Z140" s="2"/>
      <c r="AA140" s="2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/>
      <c r="V141" s="2"/>
      <c r="W141" s="2"/>
      <c r="X141" s="2"/>
      <c r="Y141" s="2"/>
      <c r="Z141" s="2"/>
      <c r="AA141" s="2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"/>
      <c r="V142" s="2"/>
      <c r="W142" s="2"/>
      <c r="X142" s="2"/>
      <c r="Y142" s="2"/>
      <c r="Z142" s="2"/>
      <c r="AA142" s="2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"/>
      <c r="V143" s="2"/>
      <c r="W143" s="2"/>
      <c r="X143" s="2"/>
      <c r="Y143" s="2"/>
      <c r="Z143" s="2"/>
      <c r="AA143" s="2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"/>
      <c r="V144" s="2"/>
      <c r="W144" s="2"/>
      <c r="X144" s="2"/>
      <c r="Y144" s="2"/>
      <c r="Z144" s="2"/>
      <c r="AA144" s="2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"/>
      <c r="V145" s="2"/>
      <c r="W145" s="2"/>
      <c r="X145" s="2"/>
      <c r="Y145" s="2"/>
      <c r="Z145" s="2"/>
      <c r="AA145" s="2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"/>
      <c r="V146" s="2"/>
      <c r="W146" s="2"/>
      <c r="X146" s="2"/>
      <c r="Y146" s="2"/>
      <c r="Z146" s="2"/>
      <c r="AA146" s="2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"/>
      <c r="V147" s="2"/>
      <c r="W147" s="2"/>
      <c r="X147" s="2"/>
      <c r="Y147" s="2"/>
      <c r="Z147" s="2"/>
      <c r="AA147" s="2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"/>
      <c r="V148" s="2"/>
      <c r="W148" s="2"/>
      <c r="X148" s="2"/>
      <c r="Y148" s="2"/>
      <c r="Z148" s="2"/>
      <c r="AA148" s="2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"/>
      <c r="V149" s="2"/>
      <c r="W149" s="2"/>
      <c r="X149" s="2"/>
      <c r="Y149" s="2"/>
      <c r="Z149" s="2"/>
      <c r="AA149" s="2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"/>
      <c r="V150" s="2"/>
      <c r="W150" s="2"/>
      <c r="X150" s="2"/>
      <c r="Y150" s="2"/>
      <c r="Z150" s="2"/>
      <c r="AA150" s="2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"/>
      <c r="V151" s="2"/>
      <c r="W151" s="2"/>
      <c r="X151" s="2"/>
      <c r="Y151" s="2"/>
      <c r="Z151" s="2"/>
      <c r="AA151" s="2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"/>
      <c r="V152" s="2"/>
      <c r="W152" s="2"/>
      <c r="X152" s="2"/>
      <c r="Y152" s="2"/>
      <c r="Z152" s="2"/>
      <c r="AA152" s="2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"/>
      <c r="V153" s="2"/>
      <c r="W153" s="2"/>
      <c r="X153" s="2"/>
      <c r="Y153" s="2"/>
      <c r="Z153" s="2"/>
      <c r="AA153" s="2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2"/>
      <c r="W154" s="2"/>
      <c r="X154" s="2"/>
      <c r="Y154" s="2"/>
      <c r="Z154" s="2"/>
      <c r="AA154" s="2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"/>
      <c r="V155" s="2"/>
      <c r="W155" s="2"/>
      <c r="X155" s="2"/>
      <c r="Y155" s="2"/>
      <c r="Z155" s="2"/>
      <c r="AA155" s="2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2"/>
      <c r="W156" s="2"/>
      <c r="X156" s="2"/>
      <c r="Y156" s="2"/>
      <c r="Z156" s="2"/>
      <c r="AA156" s="2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"/>
      <c r="V157" s="2"/>
      <c r="W157" s="2"/>
      <c r="X157" s="2"/>
      <c r="Y157" s="2"/>
      <c r="Z157" s="2"/>
      <c r="AA157" s="2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"/>
      <c r="V158" s="2"/>
      <c r="W158" s="2"/>
      <c r="X158" s="2"/>
      <c r="Y158" s="2"/>
      <c r="Z158" s="2"/>
      <c r="AA158" s="2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"/>
      <c r="V159" s="2"/>
      <c r="W159" s="2"/>
      <c r="X159" s="2"/>
      <c r="Y159" s="2"/>
      <c r="Z159" s="2"/>
      <c r="AA159" s="2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"/>
      <c r="V160" s="2"/>
      <c r="W160" s="2"/>
      <c r="X160" s="2"/>
      <c r="Y160" s="2"/>
      <c r="Z160" s="2"/>
      <c r="AA160" s="2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"/>
      <c r="V161" s="2"/>
      <c r="W161" s="2"/>
      <c r="X161" s="2"/>
      <c r="Y161" s="2"/>
      <c r="Z161" s="2"/>
      <c r="AA161" s="2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"/>
      <c r="V162" s="2"/>
      <c r="W162" s="2"/>
      <c r="X162" s="2"/>
      <c r="Y162" s="2"/>
      <c r="Z162" s="2"/>
      <c r="AA162" s="2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"/>
      <c r="V163" s="2"/>
      <c r="W163" s="2"/>
      <c r="X163" s="2"/>
      <c r="Y163" s="2"/>
      <c r="Z163" s="2"/>
      <c r="AA163" s="2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"/>
      <c r="V164" s="2"/>
      <c r="W164" s="2"/>
      <c r="X164" s="2"/>
      <c r="Y164" s="2"/>
      <c r="Z164" s="2"/>
      <c r="AA164" s="2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"/>
      <c r="V165" s="2"/>
      <c r="W165" s="2"/>
      <c r="X165" s="2"/>
      <c r="Y165" s="2"/>
      <c r="Z165" s="2"/>
      <c r="AA165" s="2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"/>
      <c r="V166" s="2"/>
      <c r="W166" s="2"/>
      <c r="X166" s="2"/>
      <c r="Y166" s="2"/>
      <c r="Z166" s="2"/>
      <c r="AA166" s="2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"/>
      <c r="V167" s="2"/>
      <c r="W167" s="2"/>
      <c r="X167" s="2"/>
      <c r="Y167" s="2"/>
      <c r="Z167" s="2"/>
      <c r="AA167" s="2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"/>
      <c r="V168" s="2"/>
      <c r="W168" s="2"/>
      <c r="X168" s="2"/>
      <c r="Y168" s="2"/>
      <c r="Z168" s="2"/>
      <c r="AA168" s="2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"/>
      <c r="V169" s="2"/>
      <c r="W169" s="2"/>
      <c r="X169" s="2"/>
      <c r="Y169" s="2"/>
      <c r="Z169" s="2"/>
      <c r="AA169" s="2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2"/>
      <c r="W170" s="2"/>
      <c r="X170" s="2"/>
      <c r="Y170" s="2"/>
      <c r="Z170" s="2"/>
      <c r="AA170" s="2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2"/>
      <c r="W171" s="2"/>
      <c r="X171" s="2"/>
      <c r="Y171" s="2"/>
      <c r="Z171" s="2"/>
      <c r="AA171" s="2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2"/>
      <c r="W172" s="2"/>
      <c r="X172" s="2"/>
      <c r="Y172" s="2"/>
      <c r="Z172" s="2"/>
      <c r="AA172" s="2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2"/>
      <c r="W173" s="2"/>
      <c r="X173" s="2"/>
      <c r="Y173" s="2"/>
      <c r="Z173" s="2"/>
      <c r="AA173" s="2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2"/>
      <c r="W174" s="2"/>
      <c r="X174" s="2"/>
      <c r="Y174" s="2"/>
      <c r="Z174" s="2"/>
      <c r="AA174" s="2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2"/>
      <c r="W175" s="2"/>
      <c r="X175" s="2"/>
      <c r="Y175" s="2"/>
      <c r="Z175" s="2"/>
      <c r="AA175" s="2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2"/>
      <c r="W176" s="2"/>
      <c r="X176" s="2"/>
      <c r="Y176" s="2"/>
      <c r="Z176" s="2"/>
      <c r="AA176" s="2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2"/>
      <c r="W177" s="2"/>
      <c r="X177" s="2"/>
      <c r="Y177" s="2"/>
      <c r="Z177" s="2"/>
      <c r="AA177" s="2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2"/>
      <c r="W178" s="2"/>
      <c r="X178" s="2"/>
      <c r="Y178" s="2"/>
      <c r="Z178" s="2"/>
      <c r="AA178" s="2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2"/>
      <c r="W179" s="2"/>
      <c r="X179" s="2"/>
      <c r="Y179" s="2"/>
      <c r="Z179" s="2"/>
      <c r="AA179" s="2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2"/>
      <c r="W180" s="2"/>
      <c r="X180" s="2"/>
      <c r="Y180" s="2"/>
      <c r="Z180" s="2"/>
      <c r="AA180" s="2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2"/>
      <c r="W181" s="2"/>
      <c r="X181" s="2"/>
      <c r="Y181" s="2"/>
      <c r="Z181" s="2"/>
      <c r="AA181" s="2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2"/>
      <c r="W182" s="2"/>
      <c r="X182" s="2"/>
      <c r="Y182" s="2"/>
      <c r="Z182" s="2"/>
      <c r="AA182" s="2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2"/>
      <c r="W183" s="2"/>
      <c r="X183" s="2"/>
      <c r="Y183" s="2"/>
      <c r="Z183" s="2"/>
      <c r="AA183" s="2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2"/>
      <c r="W184" s="2"/>
      <c r="X184" s="2"/>
      <c r="Y184" s="2"/>
      <c r="Z184" s="2"/>
      <c r="AA184" s="2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2"/>
      <c r="W185" s="2"/>
      <c r="X185" s="2"/>
      <c r="Y185" s="2"/>
      <c r="Z185" s="2"/>
      <c r="AA185" s="2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2"/>
      <c r="W186" s="2"/>
      <c r="X186" s="2"/>
      <c r="Y186" s="2"/>
      <c r="Z186" s="2"/>
      <c r="AA186" s="2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2"/>
      <c r="W187" s="2"/>
      <c r="X187" s="2"/>
      <c r="Y187" s="2"/>
      <c r="Z187" s="2"/>
      <c r="AA187" s="2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2"/>
      <c r="W188" s="2"/>
      <c r="X188" s="2"/>
      <c r="Y188" s="2"/>
      <c r="Z188" s="2"/>
      <c r="AA188" s="2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2"/>
      <c r="W189" s="2"/>
      <c r="X189" s="2"/>
      <c r="Y189" s="2"/>
      <c r="Z189" s="2"/>
      <c r="AA189" s="2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2"/>
      <c r="W190" s="2"/>
      <c r="X190" s="2"/>
      <c r="Y190" s="2"/>
      <c r="Z190" s="2"/>
      <c r="AA190" s="2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2"/>
      <c r="W191" s="2"/>
      <c r="X191" s="2"/>
      <c r="Y191" s="2"/>
      <c r="Z191" s="2"/>
      <c r="AA191" s="2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2"/>
      <c r="W192" s="2"/>
      <c r="X192" s="2"/>
      <c r="Y192" s="2"/>
      <c r="Z192" s="2"/>
      <c r="AA192" s="2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2"/>
      <c r="W193" s="2"/>
      <c r="X193" s="2"/>
      <c r="Y193" s="2"/>
      <c r="Z193" s="2"/>
      <c r="AA193" s="2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2"/>
      <c r="W194" s="2"/>
      <c r="X194" s="2"/>
      <c r="Y194" s="2"/>
      <c r="Z194" s="2"/>
      <c r="AA194" s="2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2"/>
      <c r="W195" s="2"/>
      <c r="X195" s="2"/>
      <c r="Y195" s="2"/>
      <c r="Z195" s="2"/>
      <c r="AA195" s="2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2"/>
      <c r="W196" s="2"/>
      <c r="X196" s="2"/>
      <c r="Y196" s="2"/>
      <c r="Z196" s="2"/>
      <c r="AA196" s="2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2"/>
      <c r="W197" s="2"/>
      <c r="X197" s="2"/>
      <c r="Y197" s="2"/>
      <c r="Z197" s="2"/>
      <c r="AA197" s="2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2"/>
      <c r="W198" s="2"/>
      <c r="X198" s="2"/>
      <c r="Y198" s="2"/>
      <c r="Z198" s="2"/>
      <c r="AA198" s="2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2"/>
      <c r="W199" s="2"/>
      <c r="X199" s="2"/>
      <c r="Y199" s="2"/>
      <c r="Z199" s="2"/>
      <c r="AA199" s="2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2"/>
      <c r="W200" s="2"/>
      <c r="X200" s="2"/>
      <c r="Y200" s="2"/>
      <c r="Z200" s="2"/>
      <c r="AA200" s="2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2"/>
      <c r="W201" s="2"/>
      <c r="X201" s="2"/>
      <c r="Y201" s="2"/>
      <c r="Z201" s="2"/>
      <c r="AA201" s="2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2"/>
      <c r="W202" s="2"/>
      <c r="X202" s="2"/>
      <c r="Y202" s="2"/>
      <c r="Z202" s="2"/>
      <c r="AA202" s="2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2"/>
      <c r="W203" s="2"/>
      <c r="X203" s="2"/>
      <c r="Y203" s="2"/>
      <c r="Z203" s="2"/>
      <c r="AA203" s="2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2"/>
      <c r="W204" s="2"/>
      <c r="X204" s="2"/>
      <c r="Y204" s="2"/>
      <c r="Z204" s="2"/>
      <c r="AA204" s="2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2"/>
      <c r="W205" s="2"/>
      <c r="X205" s="2"/>
      <c r="Y205" s="2"/>
      <c r="Z205" s="2"/>
      <c r="AA205" s="2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2"/>
      <c r="W206" s="2"/>
      <c r="X206" s="2"/>
      <c r="Y206" s="2"/>
      <c r="Z206" s="2"/>
      <c r="AA206" s="2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2"/>
      <c r="W207" s="2"/>
      <c r="X207" s="2"/>
      <c r="Y207" s="2"/>
      <c r="Z207" s="2"/>
      <c r="AA207" s="2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2"/>
      <c r="W208" s="2"/>
      <c r="X208" s="2"/>
      <c r="Y208" s="2"/>
      <c r="Z208" s="2"/>
      <c r="AA208" s="2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2"/>
      <c r="W209" s="2"/>
      <c r="X209" s="2"/>
      <c r="Y209" s="2"/>
      <c r="Z209" s="2"/>
      <c r="AA209" s="2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2"/>
      <c r="W210" s="2"/>
      <c r="X210" s="2"/>
      <c r="Y210" s="2"/>
      <c r="Z210" s="2"/>
      <c r="AA210" s="2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2"/>
      <c r="W211" s="2"/>
      <c r="X211" s="2"/>
      <c r="Y211" s="2"/>
      <c r="Z211" s="2"/>
      <c r="AA211" s="2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2"/>
      <c r="W212" s="2"/>
      <c r="X212" s="2"/>
      <c r="Y212" s="2"/>
      <c r="Z212" s="2"/>
      <c r="AA212" s="2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2"/>
      <c r="W213" s="2"/>
      <c r="X213" s="2"/>
      <c r="Y213" s="2"/>
      <c r="Z213" s="2"/>
      <c r="AA213" s="2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2"/>
      <c r="W214" s="2"/>
      <c r="X214" s="2"/>
      <c r="Y214" s="2"/>
      <c r="Z214" s="2"/>
      <c r="AA214" s="2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2"/>
      <c r="W215" s="2"/>
      <c r="X215" s="2"/>
      <c r="Y215" s="2"/>
      <c r="Z215" s="2"/>
      <c r="AA215" s="2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2"/>
      <c r="W216" s="2"/>
      <c r="X216" s="2"/>
      <c r="Y216" s="2"/>
      <c r="Z216" s="2"/>
      <c r="AA216" s="2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2"/>
      <c r="W217" s="2"/>
      <c r="X217" s="2"/>
      <c r="Y217" s="2"/>
      <c r="Z217" s="2"/>
      <c r="AA217" s="2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2"/>
      <c r="W218" s="2"/>
      <c r="X218" s="2"/>
      <c r="Y218" s="2"/>
      <c r="Z218" s="2"/>
      <c r="AA218" s="2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2"/>
      <c r="W219" s="2"/>
      <c r="X219" s="2"/>
      <c r="Y219" s="2"/>
      <c r="Z219" s="2"/>
      <c r="AA219" s="2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2"/>
      <c r="W220" s="2"/>
      <c r="X220" s="2"/>
      <c r="Y220" s="2"/>
      <c r="Z220" s="2"/>
      <c r="AA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9">
    <mergeCell ref="B5:B6"/>
    <mergeCell ref="C5:C6"/>
    <mergeCell ref="D5:D6"/>
    <mergeCell ref="E5:E6"/>
    <mergeCell ref="F5:F6"/>
    <mergeCell ref="G5:G6"/>
    <mergeCell ref="H5:H6"/>
    <mergeCell ref="I5:J5"/>
    <mergeCell ref="K5:L5"/>
    <mergeCell ref="M5:N5"/>
    <mergeCell ref="R4:R6"/>
    <mergeCell ref="Q5:Q6"/>
    <mergeCell ref="B1:T1"/>
    <mergeCell ref="B3:T3"/>
    <mergeCell ref="D4:H4"/>
    <mergeCell ref="I4:Q4"/>
    <mergeCell ref="S4:S6"/>
    <mergeCell ref="T4:T6"/>
    <mergeCell ref="O5:P5"/>
  </mergeCells>
  <conditionalFormatting sqref="H18:R18">
    <cfRule type="cellIs" dxfId="0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8.29"/>
    <col customWidth="1" min="3" max="3" width="31.71"/>
    <col customWidth="1" min="4" max="4" width="23.57"/>
    <col customWidth="1" min="5" max="6" width="14.29"/>
    <col customWidth="1" min="7" max="8" width="17.0"/>
    <col customWidth="1" min="9" max="9" width="17.29"/>
    <col customWidth="1" min="10" max="10" width="17.0"/>
    <col customWidth="1" min="11" max="12" width="17.57"/>
    <col customWidth="1" min="13" max="13" width="18.86"/>
    <col customWidth="1" min="14" max="33" width="11.43"/>
  </cols>
  <sheetData>
    <row r="1" ht="14.2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4.25" customHeight="1">
      <c r="A3" s="2"/>
      <c r="B3" s="6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8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4.25" customHeight="1">
      <c r="A4" s="2"/>
      <c r="B4" s="2"/>
      <c r="C4" s="2"/>
      <c r="D4" s="2"/>
      <c r="E4" s="15" t="s">
        <v>7</v>
      </c>
      <c r="F4" s="18"/>
      <c r="G4" s="18"/>
      <c r="H4" s="18"/>
      <c r="I4" s="18"/>
      <c r="J4" s="18"/>
      <c r="K4" s="18"/>
      <c r="L4" s="18"/>
      <c r="M4" s="20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7.0" customHeight="1">
      <c r="A5" s="2"/>
      <c r="B5" s="2"/>
      <c r="C5" s="2"/>
      <c r="D5" s="2"/>
      <c r="E5" s="26" t="s">
        <v>15</v>
      </c>
      <c r="F5" s="28"/>
      <c r="G5" s="15" t="s">
        <v>18</v>
      </c>
      <c r="H5" s="20"/>
      <c r="I5" s="32" t="s">
        <v>20</v>
      </c>
      <c r="J5" s="28"/>
      <c r="K5" s="15" t="s">
        <v>25</v>
      </c>
      <c r="L5" s="20"/>
      <c r="M5" s="39" t="s">
        <v>27</v>
      </c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66.75" customHeight="1">
      <c r="A6" s="2"/>
      <c r="B6" s="45" t="s">
        <v>32</v>
      </c>
      <c r="C6" s="49" t="s">
        <v>36</v>
      </c>
      <c r="D6" s="45" t="s">
        <v>41</v>
      </c>
      <c r="E6" s="52" t="s">
        <v>42</v>
      </c>
      <c r="F6" s="56" t="s">
        <v>44</v>
      </c>
      <c r="G6" s="52" t="s">
        <v>42</v>
      </c>
      <c r="H6" s="59" t="s">
        <v>44</v>
      </c>
      <c r="I6" s="62" t="s">
        <v>42</v>
      </c>
      <c r="J6" s="56" t="s">
        <v>44</v>
      </c>
      <c r="K6" s="52" t="s">
        <v>42</v>
      </c>
      <c r="L6" s="59" t="s">
        <v>44</v>
      </c>
      <c r="M6" s="64"/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2"/>
      <c r="B7" s="69" t="s">
        <v>51</v>
      </c>
      <c r="C7" s="72" t="s">
        <v>48</v>
      </c>
      <c r="D7" s="74" t="s">
        <v>52</v>
      </c>
      <c r="E7" s="77"/>
      <c r="F7" s="79"/>
      <c r="G7" s="82">
        <v>2.0E8</v>
      </c>
      <c r="H7" s="83">
        <v>5.0E7</v>
      </c>
      <c r="I7" s="85">
        <v>4.0E7</v>
      </c>
      <c r="J7" s="88"/>
      <c r="K7" s="82">
        <v>5000000.0</v>
      </c>
      <c r="L7" s="91"/>
      <c r="M7" s="96">
        <f t="shared" ref="M7:M15" si="1">SUM(E7:K7)</f>
        <v>295000000</v>
      </c>
      <c r="N7" s="2"/>
      <c r="O7" s="2"/>
      <c r="P7" s="2"/>
      <c r="Q7" s="2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4.25" customHeight="1">
      <c r="A8" s="2"/>
      <c r="B8" s="102" t="s">
        <v>68</v>
      </c>
      <c r="C8" s="103" t="s">
        <v>72</v>
      </c>
      <c r="D8" s="105" t="s">
        <v>73</v>
      </c>
      <c r="E8" s="107"/>
      <c r="F8" s="79"/>
      <c r="G8" s="109"/>
      <c r="H8" s="83">
        <v>5.0E7</v>
      </c>
      <c r="I8" s="112"/>
      <c r="J8" s="114"/>
      <c r="K8" s="116"/>
      <c r="L8" s="118"/>
      <c r="M8" s="120">
        <f t="shared" si="1"/>
        <v>50000000</v>
      </c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2"/>
      <c r="B9" s="102" t="s">
        <v>79</v>
      </c>
      <c r="C9" s="122" t="s">
        <v>80</v>
      </c>
      <c r="D9" s="123" t="s">
        <v>73</v>
      </c>
      <c r="E9" s="126"/>
      <c r="F9" s="79"/>
      <c r="G9" s="128">
        <v>1.0E7</v>
      </c>
      <c r="H9" s="83">
        <v>5.0E7</v>
      </c>
      <c r="I9" s="112"/>
      <c r="J9" s="114"/>
      <c r="K9" s="130"/>
      <c r="L9" s="132"/>
      <c r="M9" s="134">
        <f t="shared" si="1"/>
        <v>60000000</v>
      </c>
      <c r="N9" s="2"/>
      <c r="O9" s="2"/>
      <c r="P9" s="2"/>
      <c r="Q9" s="2"/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2"/>
      <c r="B10" s="102" t="s">
        <v>82</v>
      </c>
      <c r="C10" s="122" t="s">
        <v>83</v>
      </c>
      <c r="D10" s="123" t="s">
        <v>84</v>
      </c>
      <c r="E10" s="126"/>
      <c r="F10" s="79"/>
      <c r="G10" s="128">
        <v>1.0E7</v>
      </c>
      <c r="H10" s="83">
        <v>5.0E7</v>
      </c>
      <c r="I10" s="112"/>
      <c r="J10" s="114"/>
      <c r="K10" s="130"/>
      <c r="M10" s="134">
        <f t="shared" si="1"/>
        <v>60000000</v>
      </c>
      <c r="N10" s="2"/>
      <c r="O10" s="2"/>
      <c r="P10" s="2"/>
      <c r="Q10" s="2"/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4.25" customHeight="1">
      <c r="A11" s="2"/>
      <c r="B11" s="102" t="s">
        <v>86</v>
      </c>
      <c r="C11" s="122" t="s">
        <v>87</v>
      </c>
      <c r="D11" s="138" t="s">
        <v>88</v>
      </c>
      <c r="E11" s="126"/>
      <c r="F11" s="79"/>
      <c r="G11" s="128">
        <v>1.0E7</v>
      </c>
      <c r="H11" s="83">
        <v>5.0E7</v>
      </c>
      <c r="I11" s="112"/>
      <c r="J11" s="114"/>
      <c r="K11" s="130"/>
      <c r="L11" s="132"/>
      <c r="M11" s="134">
        <f t="shared" si="1"/>
        <v>60000000</v>
      </c>
      <c r="N11" s="2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25" customHeight="1">
      <c r="A12" s="2"/>
      <c r="B12" s="102" t="s">
        <v>92</v>
      </c>
      <c r="C12" s="122" t="s">
        <v>93</v>
      </c>
      <c r="D12" s="123" t="s">
        <v>94</v>
      </c>
      <c r="E12" s="126"/>
      <c r="F12" s="79"/>
      <c r="G12" s="128">
        <v>1.0E7</v>
      </c>
      <c r="H12" s="83">
        <v>5.0E7</v>
      </c>
      <c r="I12" s="112"/>
      <c r="J12" s="114"/>
      <c r="K12" s="130"/>
      <c r="L12" s="132"/>
      <c r="M12" s="134">
        <f t="shared" si="1"/>
        <v>60000000</v>
      </c>
      <c r="N12" s="2"/>
      <c r="O12" s="2"/>
      <c r="P12" s="2"/>
      <c r="Q12" s="2"/>
      <c r="R12" s="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2"/>
      <c r="B13" s="102" t="s">
        <v>95</v>
      </c>
      <c r="C13" s="122" t="s">
        <v>96</v>
      </c>
      <c r="D13" s="123" t="s">
        <v>84</v>
      </c>
      <c r="E13" s="130"/>
      <c r="F13" s="143">
        <v>2.9E7</v>
      </c>
      <c r="G13" s="109"/>
      <c r="H13" s="145"/>
      <c r="I13" s="112"/>
      <c r="J13" s="114"/>
      <c r="K13" s="130"/>
      <c r="L13" s="132"/>
      <c r="M13" s="134">
        <f t="shared" si="1"/>
        <v>29000000</v>
      </c>
      <c r="N13" s="2"/>
      <c r="O13" s="2"/>
      <c r="P13" s="2"/>
      <c r="Q13" s="2"/>
      <c r="R13" s="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4.25" customHeight="1">
      <c r="A14" s="2"/>
      <c r="B14" s="102" t="s">
        <v>99</v>
      </c>
      <c r="C14" s="122" t="s">
        <v>100</v>
      </c>
      <c r="D14" s="123" t="s">
        <v>73</v>
      </c>
      <c r="E14" s="130"/>
      <c r="F14" s="143">
        <v>2.7E7</v>
      </c>
      <c r="G14" s="109"/>
      <c r="H14" s="145"/>
      <c r="I14" s="112"/>
      <c r="J14" s="114"/>
      <c r="K14" s="130"/>
      <c r="L14" s="132"/>
      <c r="M14" s="134">
        <f t="shared" si="1"/>
        <v>27000000</v>
      </c>
      <c r="N14" s="2"/>
      <c r="O14" s="2"/>
      <c r="P14" s="2"/>
      <c r="Q14" s="2"/>
      <c r="R14" s="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4.25" customHeight="1">
      <c r="A15" s="2"/>
      <c r="B15" s="148"/>
      <c r="C15" s="149"/>
      <c r="D15" s="151"/>
      <c r="E15" s="152"/>
      <c r="F15" s="153"/>
      <c r="G15" s="154"/>
      <c r="H15" s="155"/>
      <c r="I15" s="156"/>
      <c r="J15" s="157"/>
      <c r="K15" s="152"/>
      <c r="L15" s="158"/>
      <c r="M15" s="159">
        <f t="shared" si="1"/>
        <v>0</v>
      </c>
      <c r="N15" s="2"/>
      <c r="O15" s="2"/>
      <c r="P15" s="2"/>
      <c r="Q15" s="2"/>
      <c r="R15" s="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4.25" customHeight="1">
      <c r="A16" s="2"/>
      <c r="B16" s="160"/>
      <c r="C16" s="160"/>
      <c r="D16" s="160"/>
      <c r="E16" s="165">
        <f t="shared" ref="E16:H16" si="2">SUM(E7:E15)</f>
        <v>0</v>
      </c>
      <c r="F16" s="165">
        <f t="shared" si="2"/>
        <v>56000000</v>
      </c>
      <c r="G16" s="165">
        <f t="shared" si="2"/>
        <v>240000000</v>
      </c>
      <c r="H16" s="165">
        <f t="shared" si="2"/>
        <v>300000000</v>
      </c>
      <c r="I16" s="170">
        <f t="shared" ref="I16:L16" si="3">SUM(I7:I12)</f>
        <v>40000000</v>
      </c>
      <c r="J16" s="171">
        <f t="shared" si="3"/>
        <v>0</v>
      </c>
      <c r="K16" s="165">
        <f t="shared" si="3"/>
        <v>5000000</v>
      </c>
      <c r="L16" s="153">
        <f t="shared" si="3"/>
        <v>0</v>
      </c>
      <c r="M16" s="174">
        <f>SUM(M7:M15)</f>
        <v>641000000</v>
      </c>
      <c r="N16" s="2"/>
      <c r="O16" s="2"/>
      <c r="P16" s="2"/>
      <c r="Q16" s="2"/>
      <c r="R16" s="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2"/>
      <c r="B20" s="2"/>
      <c r="C20" s="2"/>
      <c r="D20" s="2"/>
      <c r="E20" s="2"/>
      <c r="F20" s="2"/>
      <c r="G20" s="133"/>
      <c r="H20" s="133"/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2"/>
      <c r="B21" s="2"/>
      <c r="C21" s="2"/>
      <c r="D21" s="2"/>
      <c r="E21" s="2"/>
      <c r="F21" s="2"/>
      <c r="G21" s="133"/>
      <c r="H21" s="133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4.25" customHeight="1">
      <c r="A22" s="2"/>
      <c r="B22" s="2"/>
      <c r="C22" s="2"/>
      <c r="D22" s="2"/>
      <c r="E22" s="2"/>
      <c r="F22" s="2"/>
      <c r="G22" s="13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2"/>
      <c r="B23" s="2"/>
      <c r="C23" s="2"/>
      <c r="D23" s="2"/>
      <c r="E23" s="133"/>
      <c r="F23" s="133"/>
      <c r="G23" s="13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4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</sheetData>
  <mergeCells count="8">
    <mergeCell ref="B1:AG1"/>
    <mergeCell ref="B3:M3"/>
    <mergeCell ref="E4:M4"/>
    <mergeCell ref="E5:F5"/>
    <mergeCell ref="G5:H5"/>
    <mergeCell ref="I5:J5"/>
    <mergeCell ref="K5:L5"/>
    <mergeCell ref="M5:M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86"/>
    <col customWidth="1" min="3" max="3" width="39.29"/>
    <col customWidth="1" min="4" max="4" width="46.0"/>
    <col customWidth="1" min="5" max="5" width="39.57"/>
    <col customWidth="1" min="6" max="6" width="18.29"/>
    <col customWidth="1" min="7" max="7" width="15.57"/>
    <col customWidth="1" min="8" max="8" width="16.14"/>
    <col customWidth="1" min="9" max="9" width="18.0"/>
    <col customWidth="1" min="10" max="10" width="11.43"/>
    <col customWidth="1" min="11" max="11" width="13.43"/>
    <col customWidth="1" min="12" max="29" width="11.43"/>
  </cols>
  <sheetData>
    <row r="1" ht="14.2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4.25" customHeight="1">
      <c r="A3" s="2"/>
      <c r="B3" s="6" t="s">
        <v>1</v>
      </c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0.75" customHeight="1">
      <c r="A4" s="2"/>
      <c r="B4" s="10" t="s">
        <v>5</v>
      </c>
      <c r="C4" s="10" t="s">
        <v>6</v>
      </c>
      <c r="D4" s="13" t="s">
        <v>8</v>
      </c>
      <c r="E4" s="17" t="s">
        <v>10</v>
      </c>
      <c r="F4" s="22" t="s">
        <v>11</v>
      </c>
      <c r="G4" s="24" t="s">
        <v>13</v>
      </c>
      <c r="H4" s="19"/>
      <c r="I4" s="36" t="str">
        <f>I4</f>
        <v>#REF!</v>
      </c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4.25" customHeight="1">
      <c r="A5" s="2"/>
      <c r="B5" s="42"/>
      <c r="C5" s="42"/>
      <c r="D5" s="44"/>
      <c r="E5" s="42"/>
      <c r="F5" s="42"/>
      <c r="G5" s="47" t="s">
        <v>34</v>
      </c>
      <c r="H5" s="35" t="s">
        <v>39</v>
      </c>
      <c r="I5" s="42"/>
      <c r="J5" s="2"/>
      <c r="K5" s="2"/>
      <c r="L5" s="2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4.25" customHeight="1">
      <c r="A6" s="2"/>
      <c r="B6" s="57">
        <v>1.0</v>
      </c>
      <c r="C6" s="60" t="s">
        <v>46</v>
      </c>
      <c r="D6" s="60" t="s">
        <v>47</v>
      </c>
      <c r="E6" s="60" t="s">
        <v>48</v>
      </c>
      <c r="F6" s="63"/>
      <c r="G6" s="60"/>
      <c r="H6" s="65"/>
      <c r="I6" s="73">
        <f t="shared" ref="I6:I24" si="1">F6+G6+H6</f>
        <v>0</v>
      </c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4.25" customHeight="1">
      <c r="A7" s="2"/>
      <c r="B7" s="57">
        <v>2.0</v>
      </c>
      <c r="C7" s="60" t="s">
        <v>53</v>
      </c>
      <c r="D7" s="81" t="s">
        <v>54</v>
      </c>
      <c r="E7" s="60" t="s">
        <v>48</v>
      </c>
      <c r="F7" s="63"/>
      <c r="G7" s="60"/>
      <c r="H7" s="65"/>
      <c r="I7" s="73">
        <f t="shared" si="1"/>
        <v>0</v>
      </c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4.25" customHeight="1">
      <c r="A8" s="2"/>
      <c r="B8" s="57">
        <v>3.0</v>
      </c>
      <c r="C8" s="60" t="s">
        <v>56</v>
      </c>
      <c r="D8" s="81" t="s">
        <v>57</v>
      </c>
      <c r="E8" s="60" t="s">
        <v>48</v>
      </c>
      <c r="F8" s="63"/>
      <c r="G8" s="60"/>
      <c r="H8" s="65"/>
      <c r="I8" s="73">
        <f t="shared" si="1"/>
        <v>0</v>
      </c>
      <c r="J8" s="2"/>
      <c r="K8" s="2"/>
      <c r="L8" s="2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4.25" customHeight="1">
      <c r="A9" s="2"/>
      <c r="B9" s="57">
        <v>4.0</v>
      </c>
      <c r="C9" s="60" t="s">
        <v>61</v>
      </c>
      <c r="D9" s="81" t="s">
        <v>62</v>
      </c>
      <c r="E9" s="60" t="s">
        <v>48</v>
      </c>
      <c r="F9" s="63"/>
      <c r="G9" s="60"/>
      <c r="H9" s="65"/>
      <c r="I9" s="73">
        <f t="shared" si="1"/>
        <v>0</v>
      </c>
      <c r="J9" s="2"/>
      <c r="K9" s="2"/>
      <c r="L9" s="2"/>
      <c r="M9" s="2"/>
      <c r="N9" s="2"/>
      <c r="O9" s="2"/>
      <c r="P9" s="2"/>
      <c r="Q9" s="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4.25" customHeight="1">
      <c r="A10" s="2"/>
      <c r="B10" s="57">
        <v>5.0</v>
      </c>
      <c r="C10" s="60" t="s">
        <v>65</v>
      </c>
      <c r="D10" s="81" t="s">
        <v>66</v>
      </c>
      <c r="E10" s="60" t="s">
        <v>67</v>
      </c>
      <c r="F10" s="63"/>
      <c r="G10" s="101">
        <f>('Aporte Participantes Programa'!E$14/2+'Aporte Participantes Programa'!E$8)/3</f>
        <v>0</v>
      </c>
      <c r="H10" s="65">
        <f>('Aporte Participantes Programa'!F$8+'Aporte Participantes Programa'!F$14/2)/3</f>
        <v>4500000</v>
      </c>
      <c r="I10" s="73">
        <f t="shared" si="1"/>
        <v>4500000</v>
      </c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4.25" customHeight="1">
      <c r="A11" s="2"/>
      <c r="B11" s="57">
        <v>6.0</v>
      </c>
      <c r="C11" s="60" t="s">
        <v>77</v>
      </c>
      <c r="D11" s="81" t="s">
        <v>78</v>
      </c>
      <c r="E11" s="60" t="s">
        <v>67</v>
      </c>
      <c r="F11" s="63"/>
      <c r="G11" s="101">
        <f>('Aporte Participantes Programa'!E$14/2+'Aporte Participantes Programa'!E$8)/3</f>
        <v>0</v>
      </c>
      <c r="H11" s="65">
        <f>('Aporte Participantes Programa'!F$8+'Aporte Participantes Programa'!F$14/2)/3</f>
        <v>4500000</v>
      </c>
      <c r="I11" s="73">
        <f t="shared" si="1"/>
        <v>4500000</v>
      </c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4.25" customHeight="1">
      <c r="A12" s="2"/>
      <c r="B12" s="57">
        <v>7.0</v>
      </c>
      <c r="C12" s="60" t="s">
        <v>81</v>
      </c>
      <c r="D12" s="81" t="s">
        <v>78</v>
      </c>
      <c r="E12" s="60" t="s">
        <v>67</v>
      </c>
      <c r="F12" s="63"/>
      <c r="G12" s="101">
        <f>('Aporte Participantes Programa'!E$14/2+'Aporte Participantes Programa'!E$8)/3</f>
        <v>0</v>
      </c>
      <c r="H12" s="65">
        <f>('Aporte Participantes Programa'!F$8+'Aporte Participantes Programa'!F$14/2)/3</f>
        <v>4500000</v>
      </c>
      <c r="I12" s="73">
        <f t="shared" si="1"/>
        <v>4500000</v>
      </c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4.25" customHeight="1">
      <c r="A13" s="2"/>
      <c r="B13" s="57">
        <v>8.0</v>
      </c>
      <c r="C13" s="60" t="s">
        <v>89</v>
      </c>
      <c r="D13" s="81" t="s">
        <v>90</v>
      </c>
      <c r="E13" s="60" t="s">
        <v>91</v>
      </c>
      <c r="F13" s="63"/>
      <c r="G13" s="101">
        <f>('Aporte Participantes Programa'!E$13/2+'Aporte Participantes Programa'!E$10)/2</f>
        <v>0</v>
      </c>
      <c r="H13" s="65">
        <f>('Aporte Participantes Programa'!F$14/2+'Aporte Participantes Programa'!F$9)/2</f>
        <v>6750000</v>
      </c>
      <c r="I13" s="73">
        <f t="shared" si="1"/>
        <v>6750000</v>
      </c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4.25" customHeight="1">
      <c r="A14" s="2"/>
      <c r="B14" s="57">
        <v>9.0</v>
      </c>
      <c r="C14" s="60" t="s">
        <v>98</v>
      </c>
      <c r="D14" s="81" t="s">
        <v>90</v>
      </c>
      <c r="E14" s="60" t="s">
        <v>91</v>
      </c>
      <c r="F14" s="63"/>
      <c r="G14" s="101">
        <f>('Aporte Participantes Programa'!E$13/2+'Aporte Participantes Programa'!E$10)/2</f>
        <v>0</v>
      </c>
      <c r="H14" s="65">
        <f>('Aporte Participantes Programa'!F$14/2+'Aporte Participantes Programa'!F$9)/2</f>
        <v>6750000</v>
      </c>
      <c r="I14" s="73">
        <f t="shared" si="1"/>
        <v>6750000</v>
      </c>
      <c r="J14" s="2"/>
      <c r="K14" s="2"/>
      <c r="L14" s="2"/>
      <c r="M14" s="2"/>
      <c r="N14" s="2"/>
      <c r="O14" s="2"/>
      <c r="P14" s="2"/>
      <c r="Q14" s="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4.25" customHeight="1">
      <c r="A15" s="2"/>
      <c r="B15" s="57">
        <v>10.0</v>
      </c>
      <c r="C15" s="60" t="s">
        <v>103</v>
      </c>
      <c r="D15" s="81" t="s">
        <v>104</v>
      </c>
      <c r="E15" s="60" t="s">
        <v>105</v>
      </c>
      <c r="F15" s="63"/>
      <c r="G15" s="101">
        <f>('Aporte Participantes Programa'!E$10+'Aporte Participantes Programa'!E$13)/2</f>
        <v>0</v>
      </c>
      <c r="H15" s="65">
        <f>('Aporte Participantes Programa'!F$10+'Aporte Participantes Programa'!F$13)/2</f>
        <v>14500000</v>
      </c>
      <c r="I15" s="73">
        <f t="shared" si="1"/>
        <v>14500000</v>
      </c>
      <c r="J15" s="2"/>
      <c r="K15" s="2"/>
      <c r="L15" s="2"/>
      <c r="M15" s="2"/>
      <c r="N15" s="2"/>
      <c r="O15" s="2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4.25" customHeight="1">
      <c r="A16" s="2"/>
      <c r="B16" s="57">
        <v>11.0</v>
      </c>
      <c r="C16" s="60" t="s">
        <v>106</v>
      </c>
      <c r="D16" s="81" t="s">
        <v>104</v>
      </c>
      <c r="E16" s="60" t="s">
        <v>105</v>
      </c>
      <c r="F16" s="63"/>
      <c r="G16" s="101">
        <f>('Aporte Participantes Programa'!E$10+'Aporte Participantes Programa'!E$13)/2</f>
        <v>0</v>
      </c>
      <c r="H16" s="65">
        <f>('Aporte Participantes Programa'!F$10+'Aporte Participantes Programa'!F$13)/2</f>
        <v>14500000</v>
      </c>
      <c r="I16" s="73">
        <f t="shared" si="1"/>
        <v>14500000</v>
      </c>
      <c r="J16" s="2"/>
      <c r="K16" s="2"/>
      <c r="L16" s="2"/>
      <c r="M16" s="2"/>
      <c r="N16" s="2"/>
      <c r="O16" s="2"/>
      <c r="P16" s="2"/>
      <c r="Q16" s="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4.25" customHeight="1">
      <c r="A17" s="2"/>
      <c r="B17" s="57">
        <v>12.0</v>
      </c>
      <c r="C17" s="60" t="s">
        <v>107</v>
      </c>
      <c r="D17" s="81" t="s">
        <v>108</v>
      </c>
      <c r="E17" s="60" t="s">
        <v>109</v>
      </c>
      <c r="F17" s="63"/>
      <c r="G17" s="101">
        <f>'Aporte Participantes Programa'!E$11/2</f>
        <v>0</v>
      </c>
      <c r="H17" s="65">
        <f>'Aporte Participantes Programa'!F$11/2</f>
        <v>0</v>
      </c>
      <c r="I17" s="73">
        <f t="shared" si="1"/>
        <v>0</v>
      </c>
      <c r="J17" s="2"/>
      <c r="K17" s="2"/>
      <c r="L17" s="2"/>
      <c r="M17" s="2"/>
      <c r="N17" s="2"/>
      <c r="O17" s="2"/>
      <c r="P17" s="2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4.25" customHeight="1">
      <c r="A18" s="2"/>
      <c r="B18" s="57">
        <v>13.0</v>
      </c>
      <c r="C18" s="60" t="s">
        <v>110</v>
      </c>
      <c r="D18" s="81" t="s">
        <v>108</v>
      </c>
      <c r="E18" s="60" t="s">
        <v>109</v>
      </c>
      <c r="F18" s="63"/>
      <c r="G18" s="101">
        <f>'Aporte Participantes Programa'!E$11/2</f>
        <v>0</v>
      </c>
      <c r="H18" s="65">
        <f>'Aporte Participantes Programa'!F$11/2</f>
        <v>0</v>
      </c>
      <c r="I18" s="73">
        <f t="shared" si="1"/>
        <v>0</v>
      </c>
      <c r="J18" s="2"/>
      <c r="K18" s="2"/>
      <c r="L18" s="2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4.25" customHeight="1">
      <c r="A19" s="2"/>
      <c r="B19" s="57">
        <v>14.0</v>
      </c>
      <c r="C19" s="60" t="s">
        <v>111</v>
      </c>
      <c r="D19" s="81" t="s">
        <v>112</v>
      </c>
      <c r="E19" s="60" t="s">
        <v>113</v>
      </c>
      <c r="F19" s="63"/>
      <c r="G19" s="101">
        <f>'Aporte Participantes Programa'!E$12/2</f>
        <v>0</v>
      </c>
      <c r="H19" s="65">
        <f>'Aporte Participantes Programa'!F$12/2</f>
        <v>0</v>
      </c>
      <c r="I19" s="73">
        <f t="shared" si="1"/>
        <v>0</v>
      </c>
      <c r="J19" s="2"/>
      <c r="K19" s="2"/>
      <c r="L19" s="2"/>
      <c r="M19" s="2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4.25" customHeight="1">
      <c r="A20" s="2"/>
      <c r="B20" s="57">
        <v>15.0</v>
      </c>
      <c r="C20" s="60" t="s">
        <v>116</v>
      </c>
      <c r="D20" s="81" t="s">
        <v>112</v>
      </c>
      <c r="E20" s="60" t="s">
        <v>113</v>
      </c>
      <c r="F20" s="63"/>
      <c r="G20" s="101">
        <f>'Aporte Participantes Programa'!E$12/2</f>
        <v>0</v>
      </c>
      <c r="H20" s="65">
        <f>'Aporte Participantes Programa'!F$12/2</f>
        <v>0</v>
      </c>
      <c r="I20" s="73">
        <f t="shared" si="1"/>
        <v>0</v>
      </c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4.25" customHeight="1">
      <c r="A21" s="2"/>
      <c r="B21" s="57"/>
      <c r="C21" s="60"/>
      <c r="D21" s="81"/>
      <c r="E21" s="60"/>
      <c r="F21" s="63"/>
      <c r="G21" s="101"/>
      <c r="H21" s="65"/>
      <c r="I21" s="73">
        <f t="shared" si="1"/>
        <v>0</v>
      </c>
      <c r="J21" s="2"/>
      <c r="K21" s="2"/>
      <c r="L21" s="2"/>
      <c r="M21" s="2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4.25" customHeight="1">
      <c r="A22" s="2"/>
      <c r="B22" s="195"/>
      <c r="C22" s="196"/>
      <c r="D22" s="196"/>
      <c r="E22" s="198"/>
      <c r="F22" s="200"/>
      <c r="G22" s="196"/>
      <c r="H22" s="200"/>
      <c r="I22" s="73">
        <f t="shared" si="1"/>
        <v>0</v>
      </c>
      <c r="J22" s="2"/>
      <c r="K22" s="204"/>
      <c r="L22" s="2"/>
      <c r="M22" s="2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4.25" customHeight="1">
      <c r="A23" s="2"/>
      <c r="B23" s="207"/>
      <c r="C23" s="208"/>
      <c r="D23" s="208"/>
      <c r="E23" s="208"/>
      <c r="F23" s="210"/>
      <c r="G23" s="208"/>
      <c r="H23" s="210"/>
      <c r="I23" s="73">
        <f t="shared" si="1"/>
        <v>0</v>
      </c>
      <c r="J23" s="2"/>
      <c r="K23" s="2"/>
      <c r="L23" s="2"/>
      <c r="M23" s="2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4.25" customHeight="1">
      <c r="A24" s="2"/>
      <c r="B24" s="213" t="s">
        <v>27</v>
      </c>
      <c r="C24" s="18"/>
      <c r="D24" s="18"/>
      <c r="E24" s="20"/>
      <c r="F24" s="214">
        <f t="shared" ref="F24:H24" si="2">SUM(F6:F23)</f>
        <v>0</v>
      </c>
      <c r="G24" s="215">
        <f t="shared" si="2"/>
        <v>0</v>
      </c>
      <c r="H24" s="215">
        <f t="shared" si="2"/>
        <v>56000000</v>
      </c>
      <c r="I24" s="73">
        <f t="shared" si="1"/>
        <v>56000000</v>
      </c>
      <c r="J24" s="2"/>
      <c r="K24" s="2"/>
      <c r="L24" s="2"/>
      <c r="M24" s="2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4.25" customHeight="1">
      <c r="A25" s="2"/>
      <c r="B25" s="216"/>
      <c r="C25" s="216"/>
      <c r="D25" s="216"/>
      <c r="E25" s="216"/>
      <c r="F25" s="217">
        <v>6.0E8</v>
      </c>
      <c r="G25" s="218">
        <f>'Aporte Participantes Programa'!E16</f>
        <v>0</v>
      </c>
      <c r="H25" s="218">
        <f>'Aporte Participantes Programa'!F16</f>
        <v>56000000</v>
      </c>
      <c r="I25" s="216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4.25" customHeight="1">
      <c r="A26" s="2"/>
      <c r="B26" s="216"/>
      <c r="C26" s="216"/>
      <c r="D26" s="216"/>
      <c r="E26" s="216"/>
      <c r="F26" s="219"/>
      <c r="G26" s="219"/>
      <c r="H26" s="219"/>
      <c r="I26" s="216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4.25" customHeight="1">
      <c r="A27" s="2"/>
      <c r="B27" s="216"/>
      <c r="C27" s="216"/>
      <c r="D27" s="216"/>
      <c r="E27" s="216"/>
      <c r="F27" s="219"/>
      <c r="G27" s="219"/>
      <c r="H27" s="219"/>
      <c r="I27" s="216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4.25" customHeight="1">
      <c r="A28" s="2"/>
      <c r="B28" s="220" t="s">
        <v>117</v>
      </c>
      <c r="C28" s="4"/>
      <c r="D28" s="4"/>
      <c r="E28" s="4"/>
      <c r="F28" s="4"/>
      <c r="G28" s="4"/>
      <c r="H28" s="4"/>
      <c r="I28" s="5"/>
      <c r="J28" s="2"/>
      <c r="K28" s="2"/>
      <c r="L28" s="2"/>
      <c r="M28" s="2"/>
      <c r="N28" s="2"/>
      <c r="O28" s="2"/>
      <c r="P28" s="2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6.25" customHeight="1">
      <c r="A29" s="2"/>
      <c r="B29" s="221" t="s">
        <v>118</v>
      </c>
      <c r="C29" s="4"/>
      <c r="D29" s="4"/>
      <c r="E29" s="4"/>
      <c r="F29" s="4"/>
      <c r="G29" s="4"/>
      <c r="H29" s="4"/>
      <c r="I29" s="5"/>
      <c r="J29" s="2"/>
      <c r="K29" s="2"/>
      <c r="L29" s="2"/>
      <c r="M29" s="2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42.75" customHeight="1">
      <c r="A30" s="2"/>
      <c r="B30" s="222"/>
      <c r="C30" s="221" t="s">
        <v>119</v>
      </c>
      <c r="D30" s="4"/>
      <c r="E30" s="4"/>
      <c r="F30" s="4"/>
      <c r="G30" s="4"/>
      <c r="H30" s="4"/>
      <c r="I30" s="5"/>
      <c r="J30" s="2"/>
      <c r="K30" s="2"/>
      <c r="L30" s="2"/>
      <c r="M30" s="2"/>
      <c r="N30" s="2"/>
      <c r="O30" s="2"/>
      <c r="P30" s="2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35.25" customHeight="1">
      <c r="A31" s="2"/>
      <c r="B31" s="222"/>
      <c r="C31" s="221" t="s">
        <v>120</v>
      </c>
      <c r="D31" s="4"/>
      <c r="E31" s="4"/>
      <c r="F31" s="4"/>
      <c r="G31" s="4"/>
      <c r="H31" s="4"/>
      <c r="I31" s="5"/>
      <c r="J31" s="2"/>
      <c r="K31" s="2"/>
      <c r="L31" s="2"/>
      <c r="M31" s="2"/>
      <c r="N31" s="2"/>
      <c r="O31" s="2"/>
      <c r="P31" s="2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</sheetData>
  <mergeCells count="14">
    <mergeCell ref="G4:H4"/>
    <mergeCell ref="I4:I5"/>
    <mergeCell ref="B24:E24"/>
    <mergeCell ref="B28:I28"/>
    <mergeCell ref="B29:I29"/>
    <mergeCell ref="C30:I30"/>
    <mergeCell ref="C31:I31"/>
    <mergeCell ref="B1:AC1"/>
    <mergeCell ref="B3:I3"/>
    <mergeCell ref="B4:B5"/>
    <mergeCell ref="C4:C5"/>
    <mergeCell ref="D4:D5"/>
    <mergeCell ref="E4:E5"/>
    <mergeCell ref="F4:F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57"/>
    <col customWidth="1" min="3" max="3" width="31.71"/>
    <col customWidth="1" min="4" max="4" width="55.29"/>
    <col customWidth="1" min="5" max="5" width="78.29"/>
    <col customWidth="1" min="6" max="6" width="23.57"/>
    <col customWidth="1" min="7" max="7" width="24.57"/>
    <col customWidth="1" min="8" max="8" width="28.14"/>
    <col customWidth="1" min="9" max="9" width="24.0"/>
    <col customWidth="1" min="10" max="29" width="11.43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39.0" customHeight="1">
      <c r="A3" s="1"/>
      <c r="B3" s="9" t="s">
        <v>4</v>
      </c>
      <c r="J3" s="12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42.0" customHeight="1">
      <c r="A5" s="23"/>
      <c r="B5" s="27" t="s">
        <v>5</v>
      </c>
      <c r="C5" s="27" t="s">
        <v>17</v>
      </c>
      <c r="D5" s="31" t="s">
        <v>21</v>
      </c>
      <c r="E5" s="31" t="s">
        <v>22</v>
      </c>
      <c r="F5" s="33" t="s">
        <v>24</v>
      </c>
      <c r="G5" s="35" t="s">
        <v>26</v>
      </c>
      <c r="H5" s="37" t="s">
        <v>29</v>
      </c>
      <c r="I5" s="40" t="s">
        <v>30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0" customHeight="1">
      <c r="A6" s="1"/>
      <c r="B6" s="46">
        <v>1.0</v>
      </c>
      <c r="C6" s="48" t="s">
        <v>37</v>
      </c>
      <c r="D6" s="51" t="s">
        <v>40</v>
      </c>
      <c r="E6" s="54" t="s">
        <v>43</v>
      </c>
      <c r="F6" s="66">
        <f>'Presupuesto Total'!F8</f>
        <v>15000000</v>
      </c>
      <c r="G6" s="68"/>
      <c r="H6" s="76">
        <f t="shared" ref="H6:H9" si="1">F6+G6</f>
        <v>15000000</v>
      </c>
      <c r="I6" s="78">
        <v>5.0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0" customHeight="1">
      <c r="A7" s="1"/>
      <c r="B7" s="86">
        <v>2.0</v>
      </c>
      <c r="C7" s="89" t="s">
        <v>58</v>
      </c>
      <c r="D7" s="92" t="s">
        <v>59</v>
      </c>
      <c r="E7" s="92" t="s">
        <v>60</v>
      </c>
      <c r="F7" s="66">
        <f>'Presupuesto Total'!F9</f>
        <v>15000000</v>
      </c>
      <c r="G7" s="94"/>
      <c r="H7" s="76">
        <f t="shared" si="1"/>
        <v>15000000</v>
      </c>
      <c r="I7" s="100">
        <v>5.0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0" customHeight="1">
      <c r="A8" s="1"/>
      <c r="B8" s="86">
        <v>3.0</v>
      </c>
      <c r="C8" s="89" t="s">
        <v>69</v>
      </c>
      <c r="D8" s="92" t="s">
        <v>70</v>
      </c>
      <c r="E8" s="92" t="s">
        <v>71</v>
      </c>
      <c r="F8" s="66">
        <f>'Presupuesto Total'!F10</f>
        <v>15000000</v>
      </c>
      <c r="G8" s="94"/>
      <c r="H8" s="76">
        <f t="shared" si="1"/>
        <v>15000000</v>
      </c>
      <c r="I8" s="100">
        <v>5.0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0" customHeight="1">
      <c r="A9" s="1"/>
      <c r="B9" s="86">
        <v>4.0</v>
      </c>
      <c r="C9" s="89" t="s">
        <v>74</v>
      </c>
      <c r="D9" s="92" t="s">
        <v>75</v>
      </c>
      <c r="E9" s="92" t="s">
        <v>76</v>
      </c>
      <c r="F9" s="66">
        <f>'Presupuesto Total'!F11</f>
        <v>15000000</v>
      </c>
      <c r="G9" s="94"/>
      <c r="H9" s="76">
        <f t="shared" si="1"/>
        <v>15000000</v>
      </c>
      <c r="I9" s="100">
        <v>5.0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0" customHeight="1">
      <c r="A10" s="1"/>
      <c r="B10" s="86"/>
      <c r="C10" s="89"/>
      <c r="D10" s="92"/>
      <c r="E10" s="92"/>
      <c r="F10" s="124"/>
      <c r="G10" s="94"/>
      <c r="H10" s="127"/>
      <c r="I10" s="9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0" customHeight="1">
      <c r="A11" s="1"/>
      <c r="B11" s="86"/>
      <c r="C11" s="89"/>
      <c r="D11" s="92"/>
      <c r="E11" s="92"/>
      <c r="F11" s="124"/>
      <c r="G11" s="94"/>
      <c r="H11" s="127"/>
      <c r="I11" s="9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0" customHeight="1">
      <c r="A12" s="1"/>
      <c r="B12" s="86"/>
      <c r="C12" s="89"/>
      <c r="D12" s="92"/>
      <c r="E12" s="92"/>
      <c r="F12" s="124"/>
      <c r="G12" s="94"/>
      <c r="H12" s="127"/>
      <c r="I12" s="9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0" customHeight="1">
      <c r="A13" s="1"/>
      <c r="B13" s="86"/>
      <c r="C13" s="89"/>
      <c r="D13" s="92"/>
      <c r="E13" s="92"/>
      <c r="F13" s="124"/>
      <c r="G13" s="94"/>
      <c r="H13" s="127"/>
      <c r="I13" s="9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0" customHeight="1">
      <c r="A14" s="1"/>
      <c r="B14" s="86"/>
      <c r="C14" s="89"/>
      <c r="D14" s="92"/>
      <c r="E14" s="92"/>
      <c r="F14" s="124"/>
      <c r="G14" s="94"/>
      <c r="H14" s="127"/>
      <c r="I14" s="9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0" customHeight="1">
      <c r="A15" s="1"/>
      <c r="B15" s="86"/>
      <c r="C15" s="89"/>
      <c r="D15" s="92"/>
      <c r="E15" s="92"/>
      <c r="F15" s="124"/>
      <c r="G15" s="94"/>
      <c r="H15" s="127"/>
      <c r="I15" s="9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0" customHeight="1">
      <c r="A16" s="1"/>
      <c r="B16" s="86"/>
      <c r="C16" s="89"/>
      <c r="D16" s="92"/>
      <c r="E16" s="92"/>
      <c r="F16" s="124"/>
      <c r="G16" s="94"/>
      <c r="H16" s="127"/>
      <c r="I16" s="9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0" customHeight="1">
      <c r="A17" s="1"/>
      <c r="B17" s="86"/>
      <c r="C17" s="89"/>
      <c r="D17" s="92"/>
      <c r="E17" s="92"/>
      <c r="F17" s="124"/>
      <c r="G17" s="94"/>
      <c r="H17" s="127"/>
      <c r="I17" s="9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0" customHeight="1">
      <c r="A18" s="1"/>
      <c r="B18" s="86"/>
      <c r="C18" s="89"/>
      <c r="D18" s="92"/>
      <c r="E18" s="92"/>
      <c r="F18" s="124"/>
      <c r="G18" s="94"/>
      <c r="H18" s="127"/>
      <c r="I18" s="9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0" customHeight="1">
      <c r="A19" s="1"/>
      <c r="B19" s="86"/>
      <c r="C19" s="89"/>
      <c r="D19" s="92"/>
      <c r="E19" s="92"/>
      <c r="F19" s="124"/>
      <c r="G19" s="94"/>
      <c r="H19" s="127"/>
      <c r="I19" s="9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0" customHeight="1">
      <c r="A20" s="1"/>
      <c r="B20" s="86"/>
      <c r="C20" s="89"/>
      <c r="D20" s="92"/>
      <c r="E20" s="92"/>
      <c r="F20" s="124"/>
      <c r="G20" s="94"/>
      <c r="H20" s="127"/>
      <c r="I20" s="9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0" customHeight="1">
      <c r="A21" s="1"/>
      <c r="B21" s="86"/>
      <c r="C21" s="89"/>
      <c r="D21" s="92"/>
      <c r="E21" s="92"/>
      <c r="F21" s="124"/>
      <c r="G21" s="94"/>
      <c r="H21" s="127"/>
      <c r="I21" s="9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0" customHeight="1">
      <c r="A22" s="1"/>
      <c r="B22" s="86"/>
      <c r="C22" s="89"/>
      <c r="D22" s="92"/>
      <c r="E22" s="92"/>
      <c r="F22" s="124"/>
      <c r="G22" s="94"/>
      <c r="H22" s="127"/>
      <c r="I22" s="9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0" customHeight="1">
      <c r="A23" s="1"/>
      <c r="B23" s="86"/>
      <c r="C23" s="89"/>
      <c r="D23" s="92"/>
      <c r="E23" s="92"/>
      <c r="F23" s="124"/>
      <c r="G23" s="94"/>
      <c r="H23" s="127"/>
      <c r="I23" s="9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0" customHeight="1">
      <c r="A24" s="1"/>
      <c r="B24" s="86"/>
      <c r="C24" s="89"/>
      <c r="D24" s="92"/>
      <c r="E24" s="92"/>
      <c r="F24" s="124"/>
      <c r="G24" s="94"/>
      <c r="H24" s="127"/>
      <c r="I24" s="9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0" customHeight="1">
      <c r="A25" s="1"/>
      <c r="B25" s="86"/>
      <c r="C25" s="89"/>
      <c r="D25" s="92"/>
      <c r="E25" s="92"/>
      <c r="F25" s="124"/>
      <c r="G25" s="94"/>
      <c r="H25" s="127"/>
      <c r="I25" s="9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0" customHeight="1">
      <c r="A26" s="1"/>
      <c r="B26" s="86"/>
      <c r="C26" s="89"/>
      <c r="D26" s="92"/>
      <c r="E26" s="92"/>
      <c r="F26" s="124"/>
      <c r="G26" s="94"/>
      <c r="H26" s="127"/>
      <c r="I26" s="9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0" customHeight="1">
      <c r="A27" s="1"/>
      <c r="B27" s="175"/>
      <c r="C27" s="177"/>
      <c r="D27" s="179"/>
      <c r="E27" s="179"/>
      <c r="F27" s="180"/>
      <c r="G27" s="181"/>
      <c r="H27" s="182"/>
      <c r="I27" s="17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86" t="s">
        <v>114</v>
      </c>
      <c r="C28" s="18"/>
      <c r="D28" s="18"/>
      <c r="E28" s="20"/>
      <c r="F28" s="190">
        <f t="shared" ref="F28:H28" si="2">SUM(F6:F27)</f>
        <v>60000000</v>
      </c>
      <c r="G28" s="191">
        <f t="shared" si="2"/>
        <v>0</v>
      </c>
      <c r="H28" s="193">
        <f t="shared" si="2"/>
        <v>60000000</v>
      </c>
      <c r="I28" s="19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1.0" customHeight="1">
      <c r="A29" s="1"/>
      <c r="B29" s="199"/>
      <c r="C29" s="202"/>
      <c r="D29" s="202"/>
      <c r="E29" s="202"/>
      <c r="F29" s="202"/>
      <c r="G29" s="202"/>
      <c r="H29" s="20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4">
    <mergeCell ref="B1:AC1"/>
    <mergeCell ref="B3:I3"/>
    <mergeCell ref="B28:E28"/>
    <mergeCell ref="B29:H29"/>
  </mergeCells>
  <conditionalFormatting sqref="G6:H27">
    <cfRule type="cellIs" dxfId="1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.43"/>
    <col customWidth="1" min="3" max="3" width="44.57"/>
    <col customWidth="1" min="4" max="4" width="16.57"/>
    <col customWidth="1" min="5" max="5" width="12.71"/>
    <col customWidth="1" min="6" max="6" width="12.0"/>
    <col customWidth="1" min="7" max="8" width="11.14"/>
    <col customWidth="1" min="9" max="9" width="10.43"/>
    <col customWidth="1" min="10" max="10" width="13.57"/>
    <col customWidth="1" min="11" max="11" width="11.57"/>
    <col customWidth="1" min="12" max="12" width="21.0"/>
    <col customWidth="1" min="13" max="14" width="10.43"/>
    <col customWidth="1" min="15" max="15" width="11.43"/>
    <col customWidth="1" min="16" max="16" width="11.14"/>
    <col customWidth="1" min="17" max="17" width="11.29"/>
    <col customWidth="1" min="18" max="20" width="11.43"/>
    <col customWidth="1" min="21" max="21" width="20.86"/>
    <col customWidth="1" min="22" max="22" width="18.86"/>
    <col customWidth="1" min="23" max="23" width="11.43"/>
    <col customWidth="1" min="24" max="25" width="15.71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2"/>
      <c r="X1" s="2"/>
      <c r="Y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1"/>
      <c r="B3" s="7" t="s">
        <v>121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2"/>
      <c r="X3" s="2"/>
      <c r="Y3" s="2"/>
    </row>
    <row r="4" ht="15.0" customHeight="1">
      <c r="A4" s="1"/>
      <c r="B4" s="11"/>
      <c r="C4" s="11"/>
      <c r="D4" s="223"/>
      <c r="E4" s="21" t="s">
        <v>12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9"/>
      <c r="V4" s="25" t="s">
        <v>14</v>
      </c>
      <c r="W4" s="2"/>
      <c r="X4" s="2"/>
      <c r="Y4" s="2"/>
    </row>
    <row r="5" ht="15.75" customHeight="1">
      <c r="A5" s="1"/>
      <c r="B5" s="34" t="s">
        <v>122</v>
      </c>
      <c r="C5" s="38" t="s">
        <v>28</v>
      </c>
      <c r="D5" s="50" t="s">
        <v>123</v>
      </c>
      <c r="E5" s="53" t="s">
        <v>124</v>
      </c>
      <c r="F5" s="55"/>
      <c r="G5" s="224" t="s">
        <v>125</v>
      </c>
      <c r="H5" s="55"/>
      <c r="I5" s="53" t="s">
        <v>126</v>
      </c>
      <c r="J5" s="55"/>
      <c r="K5" s="53" t="s">
        <v>127</v>
      </c>
      <c r="L5" s="55"/>
      <c r="M5" s="53" t="s">
        <v>128</v>
      </c>
      <c r="N5" s="55"/>
      <c r="O5" s="53" t="s">
        <v>129</v>
      </c>
      <c r="P5" s="55"/>
      <c r="Q5" s="53" t="s">
        <v>130</v>
      </c>
      <c r="R5" s="55"/>
      <c r="S5" s="58" t="s">
        <v>131</v>
      </c>
      <c r="T5" s="61"/>
      <c r="U5" s="67" t="s">
        <v>50</v>
      </c>
      <c r="V5" s="70"/>
      <c r="W5" s="2"/>
      <c r="X5" s="2"/>
      <c r="Y5" s="2"/>
    </row>
    <row r="6" ht="14.25" customHeight="1">
      <c r="A6" s="1"/>
      <c r="B6" s="75"/>
      <c r="C6" s="42"/>
      <c r="D6" s="75"/>
      <c r="E6" s="84" t="s">
        <v>55</v>
      </c>
      <c r="F6" s="87" t="s">
        <v>132</v>
      </c>
      <c r="G6" s="90" t="s">
        <v>55</v>
      </c>
      <c r="H6" s="225" t="s">
        <v>132</v>
      </c>
      <c r="I6" s="84" t="s">
        <v>55</v>
      </c>
      <c r="J6" s="87" t="s">
        <v>132</v>
      </c>
      <c r="K6" s="84" t="s">
        <v>55</v>
      </c>
      <c r="L6" s="87" t="s">
        <v>132</v>
      </c>
      <c r="M6" s="84" t="s">
        <v>55</v>
      </c>
      <c r="N6" s="87" t="s">
        <v>132</v>
      </c>
      <c r="O6" s="84" t="s">
        <v>55</v>
      </c>
      <c r="P6" s="87" t="s">
        <v>132</v>
      </c>
      <c r="Q6" s="84" t="s">
        <v>55</v>
      </c>
      <c r="R6" s="87" t="s">
        <v>132</v>
      </c>
      <c r="S6" s="90" t="s">
        <v>55</v>
      </c>
      <c r="T6" s="225" t="s">
        <v>132</v>
      </c>
      <c r="U6" s="42"/>
      <c r="V6" s="42"/>
      <c r="W6" s="2"/>
      <c r="X6" s="2"/>
      <c r="Y6" s="2"/>
    </row>
    <row r="7" ht="14.25" customHeight="1">
      <c r="A7" s="1"/>
      <c r="B7" s="93" t="s">
        <v>63</v>
      </c>
      <c r="C7" s="95" t="s">
        <v>64</v>
      </c>
      <c r="D7" s="104">
        <f>'Presupuesto Total'!H7</f>
        <v>897000000</v>
      </c>
      <c r="E7" s="106">
        <v>4.05E8</v>
      </c>
      <c r="F7" s="226">
        <v>3.0E7</v>
      </c>
      <c r="G7" s="227"/>
      <c r="H7" s="228"/>
      <c r="I7" s="229"/>
      <c r="J7" s="108"/>
      <c r="K7" s="229"/>
      <c r="L7" s="108"/>
      <c r="M7" s="229"/>
      <c r="N7" s="108"/>
      <c r="O7" s="229"/>
      <c r="P7" s="108"/>
      <c r="Q7" s="113"/>
      <c r="R7" s="115"/>
      <c r="S7" s="117"/>
      <c r="T7" s="119"/>
      <c r="U7" s="230">
        <f t="shared" ref="U7:U17" si="1">SUM(E7:T7)</f>
        <v>435000000</v>
      </c>
      <c r="V7" s="231">
        <f t="shared" ref="V7:V17" si="2">+D7+U7</f>
        <v>1332000000</v>
      </c>
      <c r="W7" s="2"/>
      <c r="X7" s="133"/>
      <c r="Y7" s="133"/>
    </row>
    <row r="8" ht="14.25" customHeight="1">
      <c r="A8" s="1"/>
      <c r="B8" s="135" t="s">
        <v>73</v>
      </c>
      <c r="C8" s="136" t="s">
        <v>85</v>
      </c>
      <c r="D8" s="104">
        <f>'Presupuesto Total'!H8</f>
        <v>530000000</v>
      </c>
      <c r="E8" s="232">
        <v>1.1E8</v>
      </c>
      <c r="F8" s="226">
        <v>3.0E7</v>
      </c>
      <c r="G8" s="233"/>
      <c r="H8" s="234">
        <v>1.5E8</v>
      </c>
      <c r="I8" s="232">
        <f>'Aporte Participantes Programa'!E9+'Aporte Participantes Programa'!G9</f>
        <v>10000000</v>
      </c>
      <c r="J8" s="235">
        <f>'Aporte Participantes Programa'!F9+'Aporte Participantes Programa'!H9</f>
        <v>50000000</v>
      </c>
      <c r="L8" s="236"/>
      <c r="Q8" s="237"/>
      <c r="R8" s="238">
        <v>2.5E7</v>
      </c>
      <c r="S8" s="239"/>
      <c r="T8" s="240"/>
      <c r="U8" s="230">
        <f t="shared" si="1"/>
        <v>375000000</v>
      </c>
      <c r="V8" s="231">
        <f t="shared" si="2"/>
        <v>905000000</v>
      </c>
      <c r="W8" s="2"/>
      <c r="X8" s="133"/>
      <c r="Y8" s="133"/>
    </row>
    <row r="9" ht="14.25" customHeight="1">
      <c r="A9" s="1"/>
      <c r="B9" s="135" t="s">
        <v>84</v>
      </c>
      <c r="C9" s="136" t="s">
        <v>97</v>
      </c>
      <c r="D9" s="104">
        <f>'Presupuesto Total'!H9</f>
        <v>530000000</v>
      </c>
      <c r="E9" s="232">
        <v>1.1E8</v>
      </c>
      <c r="F9" s="226">
        <v>3.0E7</v>
      </c>
      <c r="G9" s="168"/>
      <c r="H9" s="169"/>
      <c r="I9" s="150"/>
      <c r="J9" s="167"/>
      <c r="K9" s="140">
        <f>'Aporte Participantes Programa'!E10+'Aporte Participantes Programa'!G10</f>
        <v>10000000</v>
      </c>
      <c r="L9" s="241">
        <f>'Aporte Participantes Programa'!F10+'Aporte Participantes Programa'!H10</f>
        <v>50000000</v>
      </c>
      <c r="M9" s="150"/>
      <c r="N9" s="167"/>
      <c r="O9" s="150"/>
      <c r="P9" s="167"/>
      <c r="Q9" s="150"/>
      <c r="R9" s="236"/>
      <c r="S9" s="168"/>
      <c r="T9" s="242">
        <v>3.0E7</v>
      </c>
      <c r="U9" s="230">
        <f t="shared" si="1"/>
        <v>230000000</v>
      </c>
      <c r="V9" s="243">
        <f t="shared" si="2"/>
        <v>760000000</v>
      </c>
      <c r="W9" s="2"/>
      <c r="X9" s="133"/>
      <c r="Y9" s="133"/>
    </row>
    <row r="10" ht="14.25" customHeight="1">
      <c r="A10" s="1"/>
      <c r="B10" s="135" t="s">
        <v>88</v>
      </c>
      <c r="C10" s="136" t="s">
        <v>101</v>
      </c>
      <c r="D10" s="104">
        <f>'Presupuesto Total'!H10</f>
        <v>528000000</v>
      </c>
      <c r="E10" s="232">
        <v>1.1E8</v>
      </c>
      <c r="F10" s="226">
        <v>3.0E7</v>
      </c>
      <c r="G10" s="168"/>
      <c r="H10" s="169"/>
      <c r="I10" s="150"/>
      <c r="J10" s="167"/>
      <c r="K10" s="150"/>
      <c r="L10" s="167"/>
      <c r="M10" s="233">
        <f>'Aporte Participantes Programa'!E11+'Aporte Participantes Programa'!G11</f>
        <v>10000000</v>
      </c>
      <c r="N10" s="241">
        <f>'Aporte Participantes Programa'!F11+'Aporte Participantes Programa'!H11</f>
        <v>50000000</v>
      </c>
      <c r="O10" s="150"/>
      <c r="P10" s="167"/>
      <c r="Q10" s="150"/>
      <c r="R10" s="167"/>
      <c r="S10" s="168"/>
      <c r="T10" s="169"/>
      <c r="U10" s="230">
        <f t="shared" si="1"/>
        <v>200000000</v>
      </c>
      <c r="V10" s="243">
        <f t="shared" si="2"/>
        <v>728000000</v>
      </c>
      <c r="W10" s="2"/>
      <c r="X10" s="133"/>
      <c r="Y10" s="133"/>
    </row>
    <row r="11" ht="14.25" customHeight="1">
      <c r="A11" s="1"/>
      <c r="B11" s="135" t="s">
        <v>94</v>
      </c>
      <c r="C11" s="136" t="s">
        <v>102</v>
      </c>
      <c r="D11" s="104">
        <f>'Presupuesto Total'!H11</f>
        <v>515000000</v>
      </c>
      <c r="E11" s="232">
        <v>1.1E8</v>
      </c>
      <c r="F11" s="226">
        <v>3.0E7</v>
      </c>
      <c r="G11" s="168"/>
      <c r="H11" s="169"/>
      <c r="I11" s="150"/>
      <c r="J11" s="167"/>
      <c r="K11" s="150"/>
      <c r="L11" s="167"/>
      <c r="M11" s="150"/>
      <c r="N11" s="167"/>
      <c r="O11" s="140">
        <f>'Aporte Participantes Programa'!E12+'Aporte Participantes Programa'!G12</f>
        <v>10000000</v>
      </c>
      <c r="P11" s="241">
        <f>'Aporte Participantes Programa'!F12+'Aporte Participantes Programa'!H12</f>
        <v>50000000</v>
      </c>
      <c r="Q11" s="150"/>
      <c r="R11" s="167"/>
      <c r="S11" s="168"/>
      <c r="T11" s="169"/>
      <c r="U11" s="230">
        <f t="shared" si="1"/>
        <v>200000000</v>
      </c>
      <c r="V11" s="243">
        <f t="shared" si="2"/>
        <v>715000000</v>
      </c>
      <c r="W11" s="2"/>
      <c r="X11" s="133"/>
      <c r="Y11" s="133"/>
    </row>
    <row r="12" ht="14.25" customHeight="1">
      <c r="A12" s="1"/>
      <c r="B12" s="135"/>
      <c r="C12" s="161"/>
      <c r="D12" s="144"/>
      <c r="E12" s="150"/>
      <c r="F12" s="167"/>
      <c r="G12" s="168"/>
      <c r="H12" s="169"/>
      <c r="I12" s="150"/>
      <c r="J12" s="167"/>
      <c r="K12" s="150"/>
      <c r="L12" s="167"/>
      <c r="M12" s="150"/>
      <c r="N12" s="167"/>
      <c r="O12" s="150"/>
      <c r="P12" s="167"/>
      <c r="Q12" s="150"/>
      <c r="R12" s="167"/>
      <c r="S12" s="168"/>
      <c r="T12" s="169"/>
      <c r="U12" s="230">
        <f t="shared" si="1"/>
        <v>0</v>
      </c>
      <c r="V12" s="243">
        <f t="shared" si="2"/>
        <v>0</v>
      </c>
      <c r="W12" s="2"/>
      <c r="X12" s="2"/>
      <c r="Y12" s="2"/>
    </row>
    <row r="13" ht="14.25" customHeight="1">
      <c r="A13" s="1"/>
      <c r="B13" s="135"/>
      <c r="C13" s="161"/>
      <c r="D13" s="144"/>
      <c r="E13" s="150"/>
      <c r="F13" s="167"/>
      <c r="G13" s="168"/>
      <c r="H13" s="169"/>
      <c r="I13" s="150"/>
      <c r="J13" s="167"/>
      <c r="K13" s="150"/>
      <c r="L13" s="167"/>
      <c r="M13" s="150"/>
      <c r="N13" s="167"/>
      <c r="O13" s="150"/>
      <c r="P13" s="167"/>
      <c r="Q13" s="150"/>
      <c r="R13" s="167"/>
      <c r="S13" s="168"/>
      <c r="T13" s="169"/>
      <c r="U13" s="230">
        <f t="shared" si="1"/>
        <v>0</v>
      </c>
      <c r="V13" s="243">
        <f t="shared" si="2"/>
        <v>0</v>
      </c>
      <c r="W13" s="2"/>
      <c r="X13" s="2"/>
      <c r="Y13" s="2"/>
    </row>
    <row r="14" ht="14.25" customHeight="1">
      <c r="A14" s="1"/>
      <c r="B14" s="135"/>
      <c r="C14" s="161"/>
      <c r="D14" s="144"/>
      <c r="E14" s="150"/>
      <c r="F14" s="167"/>
      <c r="G14" s="168"/>
      <c r="H14" s="169"/>
      <c r="I14" s="150"/>
      <c r="J14" s="167"/>
      <c r="K14" s="150"/>
      <c r="L14" s="167"/>
      <c r="M14" s="150"/>
      <c r="N14" s="167"/>
      <c r="O14" s="150"/>
      <c r="P14" s="167"/>
      <c r="Q14" s="150"/>
      <c r="R14" s="167"/>
      <c r="S14" s="168"/>
      <c r="T14" s="169"/>
      <c r="U14" s="230">
        <f t="shared" si="1"/>
        <v>0</v>
      </c>
      <c r="V14" s="243">
        <f t="shared" si="2"/>
        <v>0</v>
      </c>
      <c r="W14" s="2"/>
      <c r="X14" s="2"/>
      <c r="Y14" s="2"/>
    </row>
    <row r="15" ht="14.25" customHeight="1">
      <c r="A15" s="1"/>
      <c r="B15" s="135"/>
      <c r="C15" s="161"/>
      <c r="D15" s="144"/>
      <c r="E15" s="150"/>
      <c r="F15" s="167"/>
      <c r="G15" s="168"/>
      <c r="H15" s="169"/>
      <c r="I15" s="150"/>
      <c r="J15" s="167"/>
      <c r="K15" s="150"/>
      <c r="L15" s="167"/>
      <c r="M15" s="150"/>
      <c r="N15" s="167"/>
      <c r="O15" s="150"/>
      <c r="P15" s="167"/>
      <c r="Q15" s="150"/>
      <c r="R15" s="167"/>
      <c r="S15" s="168"/>
      <c r="T15" s="169"/>
      <c r="U15" s="230">
        <f t="shared" si="1"/>
        <v>0</v>
      </c>
      <c r="V15" s="243">
        <f t="shared" si="2"/>
        <v>0</v>
      </c>
      <c r="W15" s="2"/>
      <c r="X15" s="2"/>
      <c r="Y15" s="2"/>
    </row>
    <row r="16" ht="14.25" customHeight="1">
      <c r="A16" s="1"/>
      <c r="B16" s="135"/>
      <c r="C16" s="161"/>
      <c r="D16" s="144"/>
      <c r="E16" s="150"/>
      <c r="F16" s="167"/>
      <c r="G16" s="168"/>
      <c r="H16" s="169"/>
      <c r="I16" s="150"/>
      <c r="J16" s="167"/>
      <c r="K16" s="150"/>
      <c r="L16" s="167"/>
      <c r="M16" s="150"/>
      <c r="N16" s="167"/>
      <c r="O16" s="150"/>
      <c r="P16" s="167"/>
      <c r="Q16" s="150"/>
      <c r="R16" s="167"/>
      <c r="S16" s="168"/>
      <c r="T16" s="169"/>
      <c r="U16" s="230">
        <f t="shared" si="1"/>
        <v>0</v>
      </c>
      <c r="V16" s="243">
        <f t="shared" si="2"/>
        <v>0</v>
      </c>
      <c r="W16" s="2"/>
      <c r="X16" s="2"/>
      <c r="Y16" s="2"/>
    </row>
    <row r="17" ht="15.0" customHeight="1">
      <c r="A17" s="1"/>
      <c r="B17" s="176"/>
      <c r="C17" s="178"/>
      <c r="D17" s="144"/>
      <c r="E17" s="150"/>
      <c r="F17" s="167"/>
      <c r="G17" s="168"/>
      <c r="H17" s="169"/>
      <c r="I17" s="150"/>
      <c r="J17" s="167"/>
      <c r="K17" s="150"/>
      <c r="L17" s="167"/>
      <c r="M17" s="150"/>
      <c r="N17" s="167"/>
      <c r="O17" s="150"/>
      <c r="P17" s="167"/>
      <c r="Q17" s="150"/>
      <c r="R17" s="167"/>
      <c r="S17" s="168"/>
      <c r="T17" s="169"/>
      <c r="U17" s="230">
        <f t="shared" si="1"/>
        <v>0</v>
      </c>
      <c r="V17" s="243">
        <f t="shared" si="2"/>
        <v>0</v>
      </c>
      <c r="W17" s="2"/>
      <c r="X17" s="2"/>
      <c r="Y17" s="2"/>
    </row>
    <row r="18" ht="14.25" customHeight="1">
      <c r="A18" s="1"/>
      <c r="B18" s="187"/>
      <c r="C18" s="188" t="s">
        <v>115</v>
      </c>
      <c r="D18" s="197">
        <f t="shared" ref="D18:V18" si="3">SUM(D7:D17)</f>
        <v>3000000000</v>
      </c>
      <c r="E18" s="201">
        <f t="shared" si="3"/>
        <v>845000000</v>
      </c>
      <c r="F18" s="203">
        <f t="shared" si="3"/>
        <v>150000000</v>
      </c>
      <c r="G18" s="205">
        <f t="shared" si="3"/>
        <v>0</v>
      </c>
      <c r="H18" s="206">
        <f t="shared" si="3"/>
        <v>150000000</v>
      </c>
      <c r="I18" s="201">
        <f t="shared" si="3"/>
        <v>10000000</v>
      </c>
      <c r="J18" s="203">
        <f t="shared" si="3"/>
        <v>50000000</v>
      </c>
      <c r="K18" s="201">
        <f t="shared" si="3"/>
        <v>10000000</v>
      </c>
      <c r="L18" s="203">
        <f t="shared" si="3"/>
        <v>50000000</v>
      </c>
      <c r="M18" s="201">
        <f t="shared" si="3"/>
        <v>10000000</v>
      </c>
      <c r="N18" s="203">
        <f t="shared" si="3"/>
        <v>50000000</v>
      </c>
      <c r="O18" s="201">
        <f t="shared" si="3"/>
        <v>10000000</v>
      </c>
      <c r="P18" s="203">
        <f t="shared" si="3"/>
        <v>50000000</v>
      </c>
      <c r="Q18" s="201">
        <f t="shared" si="3"/>
        <v>0</v>
      </c>
      <c r="R18" s="203">
        <f t="shared" si="3"/>
        <v>25000000</v>
      </c>
      <c r="S18" s="205">
        <f t="shared" si="3"/>
        <v>0</v>
      </c>
      <c r="T18" s="206">
        <f t="shared" si="3"/>
        <v>30000000</v>
      </c>
      <c r="U18" s="209">
        <f t="shared" si="3"/>
        <v>1440000000</v>
      </c>
      <c r="V18" s="244">
        <f t="shared" si="3"/>
        <v>4440000000</v>
      </c>
      <c r="W18" s="2"/>
      <c r="X18" s="133"/>
      <c r="Y18" s="133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  <c r="Y41" s="2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  <c r="Y42" s="2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  <c r="Y43" s="2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  <c r="Y44" s="2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  <c r="Y46" s="2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  <c r="Y47" s="2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  <c r="Y49" s="2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  <c r="Y50" s="2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  <c r="Y51" s="2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  <c r="Y52" s="2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  <c r="Y53" s="2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  <c r="Y54" s="2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  <c r="Y55" s="2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  <c r="Y57" s="2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  <c r="Y58" s="2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  <c r="Y59" s="2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  <c r="Y63" s="2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  <c r="Y64" s="2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  <c r="Y65" s="2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  <c r="Y66" s="2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2"/>
      <c r="Y67" s="2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  <c r="Y68" s="2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2"/>
      <c r="Y69" s="2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2"/>
      <c r="Y70" s="2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2"/>
      <c r="Y71" s="2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2"/>
      <c r="Y72" s="2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2"/>
      <c r="Y73" s="2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  <c r="Y74" s="2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2"/>
      <c r="Y75" s="2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2"/>
      <c r="Y76" s="2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  <c r="X77" s="2"/>
      <c r="Y77" s="2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  <c r="X78" s="2"/>
      <c r="Y78" s="2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  <c r="X79" s="2"/>
      <c r="Y79" s="2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  <c r="X80" s="2"/>
      <c r="Y80" s="2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2"/>
      <c r="Y81" s="2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  <c r="Y82" s="2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  <c r="Y83" s="2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  <c r="Y84" s="2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  <c r="Y85" s="2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  <c r="Y86" s="2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  <c r="Y87" s="2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  <c r="Y88" s="2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  <c r="Y89" s="2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  <c r="Y90" s="2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6">
    <mergeCell ref="E5:F5"/>
    <mergeCell ref="G5:H5"/>
    <mergeCell ref="I5:J5"/>
    <mergeCell ref="K5:L5"/>
    <mergeCell ref="M5:N5"/>
    <mergeCell ref="O5:P5"/>
    <mergeCell ref="Q5:R5"/>
    <mergeCell ref="S5:T5"/>
    <mergeCell ref="B1:V1"/>
    <mergeCell ref="B3:V3"/>
    <mergeCell ref="E4:U4"/>
    <mergeCell ref="V4:V6"/>
    <mergeCell ref="B5:B6"/>
    <mergeCell ref="C5:C6"/>
    <mergeCell ref="D5:D6"/>
    <mergeCell ref="U5:U6"/>
  </mergeCells>
  <conditionalFormatting sqref="D18:V18">
    <cfRule type="cellIs" dxfId="0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9.71"/>
    <col customWidth="1" min="3" max="3" width="46.29"/>
    <col customWidth="1" min="4" max="4" width="2.86"/>
    <col customWidth="1" min="5" max="5" width="3.0"/>
    <col customWidth="1" min="6" max="7" width="2.71"/>
    <col customWidth="1" min="8" max="8" width="2.29"/>
    <col customWidth="1" min="9" max="9" width="2.0"/>
    <col customWidth="1" min="10" max="10" width="2.43"/>
    <col customWidth="1" min="11" max="12" width="2.57"/>
    <col customWidth="1" min="13" max="13" width="3.43"/>
    <col customWidth="1" min="14" max="63" width="2.71"/>
  </cols>
  <sheetData>
    <row r="1" ht="24.0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5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ht="35.25" customHeight="1">
      <c r="A3" s="1"/>
      <c r="B3" s="245" t="s">
        <v>133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4.2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ht="14.25" customHeight="1">
      <c r="A5" s="1"/>
      <c r="B5" s="246" t="s">
        <v>134</v>
      </c>
      <c r="C5" s="247" t="s">
        <v>135</v>
      </c>
      <c r="D5" s="248" t="s">
        <v>136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9"/>
      <c r="P5" s="248" t="s">
        <v>137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249"/>
      <c r="AB5" s="250" t="s">
        <v>138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9"/>
      <c r="AN5" s="250" t="s">
        <v>139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9"/>
      <c r="AZ5" s="250" t="s">
        <v>140</v>
      </c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9"/>
    </row>
    <row r="6" ht="14.25" customHeight="1">
      <c r="A6" s="1"/>
      <c r="B6" s="75"/>
      <c r="C6" s="42"/>
      <c r="D6" s="251">
        <v>1.0</v>
      </c>
      <c r="E6" s="252">
        <v>2.0</v>
      </c>
      <c r="F6" s="252">
        <v>3.0</v>
      </c>
      <c r="G6" s="252">
        <v>4.0</v>
      </c>
      <c r="H6" s="252">
        <v>5.0</v>
      </c>
      <c r="I6" s="252">
        <v>6.0</v>
      </c>
      <c r="J6" s="252">
        <v>7.0</v>
      </c>
      <c r="K6" s="252">
        <v>8.0</v>
      </c>
      <c r="L6" s="252">
        <v>9.0</v>
      </c>
      <c r="M6" s="252">
        <v>10.0</v>
      </c>
      <c r="N6" s="252">
        <v>11.0</v>
      </c>
      <c r="O6" s="253">
        <v>12.0</v>
      </c>
      <c r="P6" s="251">
        <v>13.0</v>
      </c>
      <c r="Q6" s="252">
        <v>14.0</v>
      </c>
      <c r="R6" s="252">
        <v>15.0</v>
      </c>
      <c r="S6" s="252">
        <v>16.0</v>
      </c>
      <c r="T6" s="252">
        <v>17.0</v>
      </c>
      <c r="U6" s="252">
        <v>18.0</v>
      </c>
      <c r="V6" s="252">
        <v>19.0</v>
      </c>
      <c r="W6" s="252">
        <v>20.0</v>
      </c>
      <c r="X6" s="252">
        <v>21.0</v>
      </c>
      <c r="Y6" s="252">
        <v>22.0</v>
      </c>
      <c r="Z6" s="252">
        <v>23.0</v>
      </c>
      <c r="AA6" s="254">
        <v>24.0</v>
      </c>
      <c r="AB6" s="255">
        <v>25.0</v>
      </c>
      <c r="AC6" s="252">
        <v>26.0</v>
      </c>
      <c r="AD6" s="252">
        <v>27.0</v>
      </c>
      <c r="AE6" s="252">
        <v>28.0</v>
      </c>
      <c r="AF6" s="252">
        <v>29.0</v>
      </c>
      <c r="AG6" s="252">
        <v>30.0</v>
      </c>
      <c r="AH6" s="252">
        <v>31.0</v>
      </c>
      <c r="AI6" s="252">
        <v>32.0</v>
      </c>
      <c r="AJ6" s="252">
        <v>33.0</v>
      </c>
      <c r="AK6" s="252">
        <v>34.0</v>
      </c>
      <c r="AL6" s="252">
        <v>35.0</v>
      </c>
      <c r="AM6" s="253">
        <v>36.0</v>
      </c>
      <c r="AN6" s="255">
        <v>37.0</v>
      </c>
      <c r="AO6" s="252">
        <v>38.0</v>
      </c>
      <c r="AP6" s="252">
        <v>39.0</v>
      </c>
      <c r="AQ6" s="252">
        <v>40.0</v>
      </c>
      <c r="AR6" s="252">
        <v>41.0</v>
      </c>
      <c r="AS6" s="252">
        <v>42.0</v>
      </c>
      <c r="AT6" s="252">
        <v>43.0</v>
      </c>
      <c r="AU6" s="252">
        <v>44.0</v>
      </c>
      <c r="AV6" s="252">
        <v>45.0</v>
      </c>
      <c r="AW6" s="252">
        <v>46.0</v>
      </c>
      <c r="AX6" s="252">
        <v>47.0</v>
      </c>
      <c r="AY6" s="253">
        <v>48.0</v>
      </c>
      <c r="AZ6" s="255">
        <v>49.0</v>
      </c>
      <c r="BA6" s="252">
        <v>50.0</v>
      </c>
      <c r="BB6" s="252">
        <v>51.0</v>
      </c>
      <c r="BC6" s="252">
        <v>52.0</v>
      </c>
      <c r="BD6" s="252">
        <v>53.0</v>
      </c>
      <c r="BE6" s="252">
        <v>54.0</v>
      </c>
      <c r="BF6" s="252">
        <v>55.0</v>
      </c>
      <c r="BG6" s="252">
        <v>56.0</v>
      </c>
      <c r="BH6" s="252">
        <v>57.0</v>
      </c>
      <c r="BI6" s="252">
        <v>58.0</v>
      </c>
      <c r="BJ6" s="252">
        <v>59.0</v>
      </c>
      <c r="BK6" s="253">
        <v>60.0</v>
      </c>
    </row>
    <row r="7" ht="14.25" customHeight="1">
      <c r="A7" s="1"/>
      <c r="B7" s="46" t="s">
        <v>63</v>
      </c>
      <c r="C7" s="256" t="s">
        <v>64</v>
      </c>
      <c r="D7" s="257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9"/>
      <c r="P7" s="257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60"/>
      <c r="AB7" s="261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9"/>
      <c r="AN7" s="261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9"/>
      <c r="AZ7" s="261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9"/>
    </row>
    <row r="8" ht="14.25" customHeight="1">
      <c r="A8" s="1"/>
      <c r="B8" s="86" t="s">
        <v>73</v>
      </c>
      <c r="C8" s="136" t="s">
        <v>85</v>
      </c>
      <c r="D8" s="262"/>
      <c r="E8" s="263"/>
      <c r="F8" s="263"/>
      <c r="G8" s="264"/>
      <c r="H8" s="264"/>
      <c r="I8" s="264"/>
      <c r="J8" s="264"/>
      <c r="K8" s="264"/>
      <c r="L8" s="264"/>
      <c r="M8" s="264"/>
      <c r="N8" s="264"/>
      <c r="O8" s="265"/>
      <c r="P8" s="266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7"/>
      <c r="AB8" s="268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5"/>
      <c r="AN8" s="268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5"/>
      <c r="AZ8" s="264"/>
      <c r="BA8" s="264"/>
      <c r="BB8" s="265"/>
      <c r="BC8" s="264"/>
      <c r="BD8" s="265"/>
      <c r="BE8" s="269"/>
      <c r="BF8" s="269"/>
      <c r="BG8" s="269"/>
      <c r="BH8" s="269"/>
      <c r="BI8" s="269"/>
      <c r="BJ8" s="269"/>
      <c r="BK8" s="270"/>
    </row>
    <row r="9" ht="14.25" customHeight="1">
      <c r="A9" s="1"/>
      <c r="B9" s="86" t="s">
        <v>84</v>
      </c>
      <c r="C9" s="136" t="s">
        <v>97</v>
      </c>
      <c r="D9" s="271"/>
      <c r="E9" s="269"/>
      <c r="F9" s="269"/>
      <c r="G9" s="272"/>
      <c r="H9" s="272"/>
      <c r="I9" s="272"/>
      <c r="J9" s="272"/>
      <c r="K9" s="272"/>
      <c r="L9" s="272"/>
      <c r="M9" s="272"/>
      <c r="N9" s="272"/>
      <c r="O9" s="273"/>
      <c r="P9" s="274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5"/>
      <c r="AB9" s="276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3"/>
      <c r="AN9" s="276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3"/>
      <c r="AZ9" s="276"/>
      <c r="BA9" s="272"/>
      <c r="BB9" s="272"/>
      <c r="BC9" s="272"/>
      <c r="BD9" s="272"/>
      <c r="BE9" s="269"/>
      <c r="BF9" s="269"/>
      <c r="BG9" s="269"/>
      <c r="BH9" s="269"/>
      <c r="BI9" s="269"/>
      <c r="BJ9" s="269"/>
      <c r="BK9" s="270"/>
    </row>
    <row r="10" ht="14.25" customHeight="1">
      <c r="A10" s="1"/>
      <c r="B10" s="86" t="s">
        <v>88</v>
      </c>
      <c r="C10" s="136" t="s">
        <v>101</v>
      </c>
      <c r="D10" s="271"/>
      <c r="E10" s="269"/>
      <c r="F10" s="269"/>
      <c r="G10" s="266"/>
      <c r="H10" s="264"/>
      <c r="I10" s="264"/>
      <c r="J10" s="266"/>
      <c r="K10" s="264"/>
      <c r="L10" s="264"/>
      <c r="M10" s="266"/>
      <c r="N10" s="264"/>
      <c r="O10" s="264"/>
      <c r="P10" s="266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7"/>
      <c r="AB10" s="268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5"/>
      <c r="AN10" s="268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265"/>
      <c r="AZ10" s="268"/>
      <c r="BA10" s="264"/>
      <c r="BB10" s="264"/>
      <c r="BC10" s="264"/>
      <c r="BD10" s="264"/>
      <c r="BE10" s="269"/>
      <c r="BF10" s="269"/>
      <c r="BG10" s="269"/>
      <c r="BH10" s="269"/>
      <c r="BI10" s="263"/>
      <c r="BJ10" s="263"/>
      <c r="BK10" s="277"/>
    </row>
    <row r="11" ht="14.25" customHeight="1">
      <c r="A11" s="1"/>
      <c r="B11" s="86" t="s">
        <v>94</v>
      </c>
      <c r="C11" s="136" t="s">
        <v>102</v>
      </c>
      <c r="D11" s="271"/>
      <c r="E11" s="269"/>
      <c r="F11" s="269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2"/>
      <c r="AM11" s="273"/>
      <c r="AN11" s="276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3"/>
      <c r="AZ11" s="276"/>
      <c r="BA11" s="272"/>
      <c r="BB11" s="272"/>
      <c r="BC11" s="272"/>
      <c r="BD11" s="272"/>
      <c r="BE11" s="269"/>
      <c r="BF11" s="269"/>
      <c r="BG11" s="269"/>
      <c r="BH11" s="269"/>
      <c r="BI11" s="263"/>
      <c r="BJ11" s="263"/>
      <c r="BK11" s="277"/>
    </row>
    <row r="12" ht="14.25" customHeight="1">
      <c r="A12" s="1"/>
      <c r="B12" s="86"/>
      <c r="C12" s="198"/>
      <c r="D12" s="271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70"/>
      <c r="P12" s="271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78"/>
      <c r="AB12" s="27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70"/>
      <c r="AN12" s="279"/>
      <c r="AO12" s="269"/>
      <c r="AP12" s="269"/>
      <c r="AQ12" s="269"/>
      <c r="AR12" s="269"/>
      <c r="AS12" s="269"/>
      <c r="AT12" s="269"/>
      <c r="AU12" s="269"/>
      <c r="AV12" s="269"/>
      <c r="AW12" s="269"/>
      <c r="AX12" s="269"/>
      <c r="AY12" s="270"/>
      <c r="AZ12" s="279"/>
      <c r="BA12" s="269"/>
      <c r="BB12" s="269"/>
      <c r="BC12" s="269"/>
      <c r="BD12" s="269"/>
      <c r="BE12" s="269"/>
      <c r="BF12" s="269"/>
      <c r="BG12" s="269"/>
      <c r="BH12" s="269"/>
      <c r="BI12" s="269"/>
      <c r="BJ12" s="269"/>
      <c r="BK12" s="270"/>
    </row>
    <row r="13" ht="14.25" customHeight="1">
      <c r="A13" s="1"/>
      <c r="B13" s="86"/>
      <c r="C13" s="198"/>
      <c r="D13" s="271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70"/>
      <c r="P13" s="271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78"/>
      <c r="AB13" s="279"/>
      <c r="AC13" s="269"/>
      <c r="AD13" s="269"/>
      <c r="AE13" s="269"/>
      <c r="AF13" s="269"/>
      <c r="AG13" s="269"/>
      <c r="AH13" s="269"/>
      <c r="AI13" s="269"/>
      <c r="AJ13" s="269"/>
      <c r="AK13" s="269"/>
      <c r="AL13" s="269"/>
      <c r="AM13" s="270"/>
      <c r="AN13" s="279"/>
      <c r="AO13" s="269"/>
      <c r="AP13" s="269"/>
      <c r="AQ13" s="269"/>
      <c r="AR13" s="269"/>
      <c r="AS13" s="269"/>
      <c r="AT13" s="269"/>
      <c r="AU13" s="269"/>
      <c r="AV13" s="269"/>
      <c r="AW13" s="269"/>
      <c r="AX13" s="269"/>
      <c r="AY13" s="270"/>
      <c r="AZ13" s="279"/>
      <c r="BA13" s="269"/>
      <c r="BB13" s="269"/>
      <c r="BC13" s="269"/>
      <c r="BD13" s="269"/>
      <c r="BE13" s="269"/>
      <c r="BF13" s="269"/>
      <c r="BG13" s="269"/>
      <c r="BH13" s="269"/>
      <c r="BI13" s="269"/>
      <c r="BJ13" s="269"/>
      <c r="BK13" s="270"/>
    </row>
    <row r="14" ht="14.25" customHeight="1">
      <c r="A14" s="1"/>
      <c r="B14" s="86"/>
      <c r="C14" s="198"/>
      <c r="D14" s="271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70"/>
      <c r="P14" s="271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78"/>
      <c r="AB14" s="279"/>
      <c r="AC14" s="269"/>
      <c r="AD14" s="269"/>
      <c r="AE14" s="269"/>
      <c r="AF14" s="269"/>
      <c r="AG14" s="269"/>
      <c r="AH14" s="269"/>
      <c r="AI14" s="269"/>
      <c r="AJ14" s="269"/>
      <c r="AK14" s="269"/>
      <c r="AL14" s="269"/>
      <c r="AM14" s="270"/>
      <c r="AN14" s="279"/>
      <c r="AO14" s="269"/>
      <c r="AP14" s="269"/>
      <c r="AQ14" s="269"/>
      <c r="AR14" s="269"/>
      <c r="AS14" s="269"/>
      <c r="AT14" s="269"/>
      <c r="AU14" s="269"/>
      <c r="AV14" s="269"/>
      <c r="AW14" s="269"/>
      <c r="AX14" s="269"/>
      <c r="AY14" s="270"/>
      <c r="AZ14" s="279"/>
      <c r="BA14" s="269"/>
      <c r="BB14" s="269"/>
      <c r="BC14" s="269"/>
      <c r="BD14" s="269"/>
      <c r="BE14" s="269"/>
      <c r="BF14" s="269"/>
      <c r="BG14" s="269"/>
      <c r="BH14" s="269"/>
      <c r="BI14" s="269"/>
      <c r="BJ14" s="269"/>
      <c r="BK14" s="270"/>
    </row>
    <row r="15" ht="14.25" customHeight="1">
      <c r="A15" s="1"/>
      <c r="B15" s="86"/>
      <c r="C15" s="198"/>
      <c r="D15" s="271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70"/>
      <c r="P15" s="271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78"/>
      <c r="AB15" s="279"/>
      <c r="AC15" s="269"/>
      <c r="AD15" s="269"/>
      <c r="AE15" s="269"/>
      <c r="AF15" s="269"/>
      <c r="AG15" s="269"/>
      <c r="AH15" s="269"/>
      <c r="AI15" s="269"/>
      <c r="AJ15" s="269"/>
      <c r="AK15" s="269"/>
      <c r="AL15" s="269"/>
      <c r="AM15" s="270"/>
      <c r="AN15" s="27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70"/>
      <c r="AZ15" s="27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70"/>
    </row>
    <row r="16" ht="14.25" customHeight="1">
      <c r="A16" s="1"/>
      <c r="B16" s="86"/>
      <c r="C16" s="198"/>
      <c r="D16" s="271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70"/>
      <c r="P16" s="271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78"/>
      <c r="AB16" s="279"/>
      <c r="AC16" s="269"/>
      <c r="AD16" s="269"/>
      <c r="AE16" s="269"/>
      <c r="AF16" s="269"/>
      <c r="AG16" s="269"/>
      <c r="AH16" s="269"/>
      <c r="AI16" s="269"/>
      <c r="AJ16" s="269"/>
      <c r="AK16" s="269"/>
      <c r="AL16" s="269"/>
      <c r="AM16" s="270"/>
      <c r="AN16" s="27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70"/>
      <c r="AZ16" s="27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70"/>
    </row>
    <row r="17" ht="15.0" customHeight="1">
      <c r="A17" s="1"/>
      <c r="B17" s="89"/>
      <c r="C17" s="198"/>
      <c r="D17" s="271"/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70"/>
      <c r="P17" s="271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78"/>
      <c r="AB17" s="27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70"/>
      <c r="AN17" s="279"/>
      <c r="AO17" s="269"/>
      <c r="AP17" s="269"/>
      <c r="AQ17" s="269"/>
      <c r="AR17" s="269"/>
      <c r="AS17" s="269"/>
      <c r="AT17" s="269"/>
      <c r="AU17" s="269"/>
      <c r="AV17" s="269"/>
      <c r="AW17" s="269"/>
      <c r="AX17" s="269"/>
      <c r="AY17" s="270"/>
      <c r="AZ17" s="27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70"/>
    </row>
    <row r="18" ht="14.25" customHeight="1">
      <c r="A18" s="1"/>
      <c r="B18" s="89"/>
      <c r="C18" s="198"/>
      <c r="D18" s="271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70"/>
      <c r="P18" s="271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78"/>
      <c r="AB18" s="279"/>
      <c r="AC18" s="269"/>
      <c r="AD18" s="269"/>
      <c r="AE18" s="269"/>
      <c r="AF18" s="269"/>
      <c r="AG18" s="269"/>
      <c r="AH18" s="269"/>
      <c r="AI18" s="269"/>
      <c r="AJ18" s="269"/>
      <c r="AK18" s="269"/>
      <c r="AL18" s="269"/>
      <c r="AM18" s="270"/>
      <c r="AN18" s="279"/>
      <c r="AO18" s="269"/>
      <c r="AP18" s="269"/>
      <c r="AQ18" s="269"/>
      <c r="AR18" s="269"/>
      <c r="AS18" s="269"/>
      <c r="AT18" s="269"/>
      <c r="AU18" s="269"/>
      <c r="AV18" s="269"/>
      <c r="AW18" s="269"/>
      <c r="AX18" s="269"/>
      <c r="AY18" s="270"/>
      <c r="AZ18" s="279"/>
      <c r="BA18" s="269"/>
      <c r="BB18" s="269"/>
      <c r="BC18" s="269"/>
      <c r="BD18" s="269"/>
      <c r="BE18" s="269"/>
      <c r="BF18" s="269"/>
      <c r="BG18" s="269"/>
      <c r="BH18" s="269"/>
      <c r="BI18" s="269"/>
      <c r="BJ18" s="269"/>
      <c r="BK18" s="270"/>
    </row>
    <row r="19" ht="14.25" customHeight="1">
      <c r="A19" s="1"/>
      <c r="B19" s="89"/>
      <c r="C19" s="198"/>
      <c r="D19" s="271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70"/>
      <c r="P19" s="271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78"/>
      <c r="AB19" s="279"/>
      <c r="AC19" s="269"/>
      <c r="AD19" s="269"/>
      <c r="AE19" s="269"/>
      <c r="AF19" s="269"/>
      <c r="AG19" s="269"/>
      <c r="AH19" s="269"/>
      <c r="AI19" s="269"/>
      <c r="AJ19" s="269"/>
      <c r="AK19" s="269"/>
      <c r="AL19" s="269"/>
      <c r="AM19" s="270"/>
      <c r="AN19" s="279"/>
      <c r="AO19" s="269"/>
      <c r="AP19" s="269"/>
      <c r="AQ19" s="269"/>
      <c r="AR19" s="269"/>
      <c r="AS19" s="269"/>
      <c r="AT19" s="269"/>
      <c r="AU19" s="269"/>
      <c r="AV19" s="269"/>
      <c r="AW19" s="269"/>
      <c r="AX19" s="269"/>
      <c r="AY19" s="270"/>
      <c r="AZ19" s="27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70"/>
    </row>
    <row r="20" ht="14.25" customHeight="1">
      <c r="A20" s="1"/>
      <c r="B20" s="89"/>
      <c r="C20" s="198"/>
      <c r="D20" s="271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70"/>
      <c r="P20" s="271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78"/>
      <c r="AB20" s="279"/>
      <c r="AC20" s="269"/>
      <c r="AD20" s="269"/>
      <c r="AE20" s="269"/>
      <c r="AF20" s="269"/>
      <c r="AG20" s="269"/>
      <c r="AH20" s="269"/>
      <c r="AI20" s="269"/>
      <c r="AJ20" s="269"/>
      <c r="AK20" s="269"/>
      <c r="AL20" s="269"/>
      <c r="AM20" s="270"/>
      <c r="AN20" s="279"/>
      <c r="AO20" s="269"/>
      <c r="AP20" s="269"/>
      <c r="AQ20" s="269"/>
      <c r="AR20" s="269"/>
      <c r="AS20" s="269"/>
      <c r="AT20" s="269"/>
      <c r="AU20" s="269"/>
      <c r="AV20" s="269"/>
      <c r="AW20" s="269"/>
      <c r="AX20" s="269"/>
      <c r="AY20" s="270"/>
      <c r="AZ20" s="27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70"/>
    </row>
    <row r="21" ht="14.25" customHeight="1">
      <c r="A21" s="1"/>
      <c r="B21" s="177"/>
      <c r="C21" s="208"/>
      <c r="D21" s="280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2"/>
      <c r="P21" s="280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3"/>
      <c r="AB21" s="284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2"/>
      <c r="AN21" s="284"/>
      <c r="AO21" s="281"/>
      <c r="AP21" s="281"/>
      <c r="AQ21" s="281"/>
      <c r="AR21" s="281"/>
      <c r="AS21" s="281"/>
      <c r="AT21" s="281"/>
      <c r="AU21" s="281"/>
      <c r="AV21" s="281"/>
      <c r="AW21" s="281"/>
      <c r="AX21" s="281"/>
      <c r="AY21" s="282"/>
      <c r="AZ21" s="284"/>
      <c r="BA21" s="281"/>
      <c r="BB21" s="281"/>
      <c r="BC21" s="281"/>
      <c r="BD21" s="281"/>
      <c r="BE21" s="281"/>
      <c r="BF21" s="281"/>
      <c r="BG21" s="281"/>
      <c r="BH21" s="281"/>
      <c r="BI21" s="281"/>
      <c r="BJ21" s="281"/>
      <c r="BK21" s="28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</sheetData>
  <mergeCells count="9">
    <mergeCell ref="AN5:AY5"/>
    <mergeCell ref="AZ5:BK5"/>
    <mergeCell ref="B1:BK1"/>
    <mergeCell ref="B3:AR3"/>
    <mergeCell ref="B5:B6"/>
    <mergeCell ref="C5:C6"/>
    <mergeCell ref="D5:O5"/>
    <mergeCell ref="P5:AA5"/>
    <mergeCell ref="AB5:AM5"/>
  </mergeCells>
  <conditionalFormatting sqref="D7:BK21">
    <cfRule type="cellIs" dxfId="2" priority="1" operator="between">
      <formula>#REF!</formula>
      <formula>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0.57"/>
    <col customWidth="1" min="3" max="3" width="7.57"/>
    <col customWidth="1" min="4" max="4" width="16.71"/>
    <col customWidth="1" min="5" max="5" width="14.71"/>
    <col customWidth="1" min="6" max="7" width="13.57"/>
    <col customWidth="1" min="8" max="8" width="11.43"/>
    <col customWidth="1" min="9" max="10" width="15.71"/>
    <col customWidth="1" min="11" max="11" width="14.71"/>
    <col customWidth="1" min="12" max="27" width="11.43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ht="14.25" customHeight="1">
      <c r="A2" s="1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7" t="s">
        <v>141</v>
      </c>
      <c r="C3" s="4"/>
      <c r="D3" s="4"/>
      <c r="E3" s="4"/>
      <c r="F3" s="4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0.75" customHeight="1">
      <c r="A4" s="1"/>
      <c r="B4" s="2"/>
      <c r="C4" s="13" t="s">
        <v>5</v>
      </c>
      <c r="D4" s="285" t="s">
        <v>11</v>
      </c>
      <c r="E4" s="286" t="s">
        <v>13</v>
      </c>
      <c r="F4" s="55"/>
      <c r="G4" s="287" t="s">
        <v>142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2"/>
      <c r="C5" s="288"/>
      <c r="D5" s="289"/>
      <c r="E5" s="290" t="s">
        <v>34</v>
      </c>
      <c r="F5" s="291" t="s">
        <v>39</v>
      </c>
      <c r="G5" s="29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25" customHeight="1">
      <c r="A6" s="1"/>
      <c r="B6" s="293" t="s">
        <v>143</v>
      </c>
      <c r="C6" s="18"/>
      <c r="D6" s="18"/>
      <c r="E6" s="18"/>
      <c r="F6" s="18"/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60" t="s">
        <v>144</v>
      </c>
      <c r="C7" s="60">
        <v>37.0</v>
      </c>
      <c r="D7" s="63">
        <v>1.7728E9</v>
      </c>
      <c r="E7" s="294">
        <v>4.5E8</v>
      </c>
      <c r="F7" s="63">
        <v>6.0E8</v>
      </c>
      <c r="G7" s="73">
        <f t="shared" ref="G7:G9" si="1">+SUM(D7:F7)</f>
        <v>2822800000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198" t="s">
        <v>145</v>
      </c>
      <c r="C8" s="198">
        <v>11.0</v>
      </c>
      <c r="D8" s="295">
        <v>1.272E8</v>
      </c>
      <c r="E8" s="296">
        <v>1.2E8</v>
      </c>
      <c r="F8" s="295">
        <v>1.5E8</v>
      </c>
      <c r="G8" s="73">
        <f t="shared" si="1"/>
        <v>397200000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196" t="s">
        <v>146</v>
      </c>
      <c r="C9" s="196">
        <v>3.0</v>
      </c>
      <c r="D9" s="200"/>
      <c r="E9" s="297">
        <v>3.0E7</v>
      </c>
      <c r="F9" s="200"/>
      <c r="G9" s="73">
        <f t="shared" si="1"/>
        <v>30000000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B10" s="213" t="s">
        <v>27</v>
      </c>
      <c r="C10" s="298"/>
      <c r="D10" s="299">
        <f t="shared" ref="D10:G10" si="2">SUM(D7:D9)</f>
        <v>1900000000</v>
      </c>
      <c r="E10" s="300">
        <f t="shared" si="2"/>
        <v>600000000</v>
      </c>
      <c r="F10" s="300">
        <f t="shared" si="2"/>
        <v>750000000</v>
      </c>
      <c r="G10" s="301">
        <f t="shared" si="2"/>
        <v>3250000000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7.0" customHeight="1">
      <c r="A11" s="1"/>
      <c r="B11" s="293" t="s">
        <v>147</v>
      </c>
      <c r="C11" s="18"/>
      <c r="D11" s="18"/>
      <c r="E11" s="18"/>
      <c r="F11" s="18"/>
      <c r="G11" s="20"/>
      <c r="H11" s="1"/>
      <c r="I11" s="1"/>
      <c r="J11" s="302"/>
      <c r="K11" s="30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60" t="s">
        <v>148</v>
      </c>
      <c r="C12" s="304"/>
      <c r="D12" s="63">
        <v>1.3E8</v>
      </c>
      <c r="E12" s="305"/>
      <c r="F12" s="63"/>
      <c r="G12" s="306">
        <f t="shared" ref="G12:G23" si="3">+SUM(D12:F12)</f>
        <v>130000000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198" t="s">
        <v>149</v>
      </c>
      <c r="C13" s="198"/>
      <c r="D13" s="295">
        <v>2.9E8</v>
      </c>
      <c r="E13" s="296">
        <v>1.8E8</v>
      </c>
      <c r="F13" s="295"/>
      <c r="G13" s="73">
        <f t="shared" si="3"/>
        <v>470000000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198" t="s">
        <v>150</v>
      </c>
      <c r="C14" s="198"/>
      <c r="D14" s="295"/>
      <c r="E14" s="296"/>
      <c r="F14" s="295"/>
      <c r="G14" s="73">
        <f t="shared" si="3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198" t="s">
        <v>151</v>
      </c>
      <c r="C15" s="198"/>
      <c r="D15" s="295"/>
      <c r="E15" s="296"/>
      <c r="F15" s="295"/>
      <c r="G15" s="73">
        <f t="shared" si="3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198" t="s">
        <v>152</v>
      </c>
      <c r="C16" s="198"/>
      <c r="D16" s="295">
        <v>1.2E8</v>
      </c>
      <c r="E16" s="296">
        <v>1.2E8</v>
      </c>
      <c r="F16" s="295"/>
      <c r="G16" s="73">
        <f t="shared" si="3"/>
        <v>240000000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198" t="s">
        <v>153</v>
      </c>
      <c r="C17" s="198"/>
      <c r="D17" s="295">
        <v>4.0E7</v>
      </c>
      <c r="E17" s="296"/>
      <c r="F17" s="295"/>
      <c r="G17" s="73">
        <f t="shared" si="3"/>
        <v>40000000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196" t="s">
        <v>154</v>
      </c>
      <c r="C18" s="196"/>
      <c r="D18" s="200"/>
      <c r="E18" s="297"/>
      <c r="F18" s="200">
        <v>2.5E8</v>
      </c>
      <c r="G18" s="73">
        <f t="shared" si="3"/>
        <v>250000000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196" t="s">
        <v>155</v>
      </c>
      <c r="C19" s="196"/>
      <c r="D19" s="200"/>
      <c r="E19" s="297"/>
      <c r="F19" s="200"/>
      <c r="G19" s="73">
        <f t="shared" si="3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196" t="s">
        <v>156</v>
      </c>
      <c r="C20" s="196"/>
      <c r="D20" s="200">
        <v>2.0E7</v>
      </c>
      <c r="E20" s="297"/>
      <c r="F20" s="200"/>
      <c r="G20" s="73">
        <f t="shared" si="3"/>
        <v>20000000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96" t="s">
        <v>157</v>
      </c>
      <c r="C21" s="196"/>
      <c r="D21" s="200"/>
      <c r="E21" s="297"/>
      <c r="F21" s="200"/>
      <c r="G21" s="73">
        <f t="shared" si="3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96" t="s">
        <v>158</v>
      </c>
      <c r="C22" s="196"/>
      <c r="D22" s="200">
        <v>5.0E7</v>
      </c>
      <c r="E22" s="297"/>
      <c r="F22" s="200"/>
      <c r="G22" s="73">
        <f t="shared" si="3"/>
        <v>50000000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96" t="s">
        <v>159</v>
      </c>
      <c r="C23" s="196"/>
      <c r="D23" s="200"/>
      <c r="E23" s="297"/>
      <c r="F23" s="200"/>
      <c r="G23" s="73">
        <f t="shared" si="3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213" t="s">
        <v>27</v>
      </c>
      <c r="C24" s="298"/>
      <c r="D24" s="300">
        <f t="shared" ref="D24:G24" si="4">SUM(D12:D23)</f>
        <v>650000000</v>
      </c>
      <c r="E24" s="299">
        <f t="shared" si="4"/>
        <v>300000000</v>
      </c>
      <c r="F24" s="300">
        <f t="shared" si="4"/>
        <v>250000000</v>
      </c>
      <c r="G24" s="301">
        <f t="shared" si="4"/>
        <v>1200000000</v>
      </c>
      <c r="H24" s="1"/>
      <c r="I24" s="302"/>
      <c r="J24" s="30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7.75" customHeight="1">
      <c r="A25" s="1"/>
      <c r="B25" s="293" t="s">
        <v>160</v>
      </c>
      <c r="C25" s="18"/>
      <c r="D25" s="18"/>
      <c r="E25" s="18"/>
      <c r="F25" s="18"/>
      <c r="G25" s="2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60" t="s">
        <v>161</v>
      </c>
      <c r="C26" s="304"/>
      <c r="D26" s="63">
        <v>2.0E8</v>
      </c>
      <c r="E26" s="305">
        <v>6.0E7</v>
      </c>
      <c r="F26" s="63"/>
      <c r="G26" s="306">
        <f t="shared" ref="G26:G28" si="5">+SUM(D26:F26)</f>
        <v>260000000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198" t="s">
        <v>162</v>
      </c>
      <c r="C27" s="198"/>
      <c r="D27" s="295"/>
      <c r="E27" s="296"/>
      <c r="F27" s="295"/>
      <c r="G27" s="73">
        <f t="shared" si="5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96" t="s">
        <v>159</v>
      </c>
      <c r="C28" s="208"/>
      <c r="D28" s="200">
        <v>5.0E7</v>
      </c>
      <c r="E28" s="307"/>
      <c r="F28" s="200"/>
      <c r="G28" s="73">
        <f t="shared" si="5"/>
        <v>50000000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213" t="s">
        <v>27</v>
      </c>
      <c r="C29" s="298"/>
      <c r="D29" s="300">
        <f t="shared" ref="D29:G29" si="6">SUM(D26:D28)</f>
        <v>250000000</v>
      </c>
      <c r="E29" s="299">
        <f t="shared" si="6"/>
        <v>60000000</v>
      </c>
      <c r="F29" s="300">
        <f t="shared" si="6"/>
        <v>0</v>
      </c>
      <c r="G29" s="301">
        <f t="shared" si="6"/>
        <v>310000000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1.0" customHeight="1">
      <c r="A30" s="1"/>
      <c r="B30" s="308" t="s">
        <v>163</v>
      </c>
      <c r="C30" s="16"/>
      <c r="D30" s="16"/>
      <c r="E30" s="16"/>
      <c r="F30" s="16"/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309" t="s">
        <v>164</v>
      </c>
      <c r="C31" s="309"/>
      <c r="D31" s="310">
        <v>4.0E7</v>
      </c>
      <c r="E31" s="305"/>
      <c r="F31" s="311"/>
      <c r="G31" s="306">
        <f t="shared" ref="G31:G34" si="7">+SUM(D31:F31)</f>
        <v>40000000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312" t="s">
        <v>165</v>
      </c>
      <c r="C32" s="312"/>
      <c r="D32" s="313">
        <v>6.0E7</v>
      </c>
      <c r="E32" s="296"/>
      <c r="F32" s="295"/>
      <c r="G32" s="73">
        <f t="shared" si="7"/>
        <v>60000000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312" t="s">
        <v>166</v>
      </c>
      <c r="C33" s="312"/>
      <c r="D33" s="313">
        <v>1.0E8</v>
      </c>
      <c r="E33" s="296">
        <v>4.0E7</v>
      </c>
      <c r="F33" s="295"/>
      <c r="G33" s="73">
        <f t="shared" si="7"/>
        <v>140000000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314" t="s">
        <v>159</v>
      </c>
      <c r="C34" s="314"/>
      <c r="D34" s="315"/>
      <c r="E34" s="307"/>
      <c r="F34" s="210"/>
      <c r="G34" s="306">
        <f t="shared" si="7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213" t="s">
        <v>27</v>
      </c>
      <c r="C35" s="298"/>
      <c r="D35" s="300">
        <f t="shared" ref="D35:G35" si="8">SUM(D31:D34)</f>
        <v>200000000</v>
      </c>
      <c r="E35" s="299">
        <f t="shared" si="8"/>
        <v>40000000</v>
      </c>
      <c r="F35" s="300">
        <f t="shared" si="8"/>
        <v>0</v>
      </c>
      <c r="G35" s="301">
        <f t="shared" si="8"/>
        <v>240000000</v>
      </c>
      <c r="H35" s="1"/>
      <c r="I35" s="302"/>
      <c r="J35" s="30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B11:G11"/>
    <mergeCell ref="B25:G25"/>
    <mergeCell ref="B30:G30"/>
    <mergeCell ref="B1:AA1"/>
    <mergeCell ref="B3:G3"/>
    <mergeCell ref="C4:C5"/>
    <mergeCell ref="D4:D5"/>
    <mergeCell ref="E4:F4"/>
    <mergeCell ref="G4:G5"/>
    <mergeCell ref="B6:G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2015-04-28T19:20:30Z</dcterms:created>
  <dc:creator>Edmundo Pérez Vergara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0x010100D8391FE81C452447AA05E214A414001D</vt:lpwstr>
  </property>
  <property fmtid="{D5CDD505-2E9C-101B-9397-08002B2CF9AE}" pid="3" name="MediaServiceImageTags">
    <vt:lpwstr/>
  </property>
</Properties>
</file>