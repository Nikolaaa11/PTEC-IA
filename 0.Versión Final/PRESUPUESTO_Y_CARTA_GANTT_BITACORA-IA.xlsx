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upuesto Total" sheetId="1" r:id="rId4"/>
    <sheet state="visible" name="Aporte Participantes Programa" sheetId="2" r:id="rId5"/>
    <sheet state="visible" name="Detalle Personal Preexistente" sheetId="3" r:id="rId6"/>
    <sheet state="visible" name="Detalle Inversiones" sheetId="4" r:id="rId7"/>
    <sheet state="visible" name="Presupuesto por Fuente" sheetId="5" r:id="rId8"/>
    <sheet state="visible" name="Carta Gantt" sheetId="6" r:id="rId9"/>
    <sheet state="visible" name="Detalle Presupuesto por Cuenta" sheetId="7" r:id="rId10"/>
  </sheets>
  <definedNames>
    <definedName name="Participante">'Aporte Participantes Programa'!#REF!</definedName>
  </definedNames>
  <calcPr/>
  <extLst>
    <ext uri="GoogleSheetsCustomDataVersion2">
      <go:sheetsCustomData xmlns:go="http://customooxmlschemas.google.com/" r:id="rId11" roundtripDataChecksum="v2ob4vJN1Pp8w1bLB2w2C20iTV0tnTRMBT0bynXEx70="/>
    </ext>
  </extLst>
</workbook>
</file>

<file path=xl/sharedStrings.xml><?xml version="1.0" encoding="utf-8"?>
<sst xmlns="http://schemas.openxmlformats.org/spreadsheetml/2006/main" count="264" uniqueCount="167">
  <si>
    <t>PROGRAMA TECNOLÓGICO BITÁCORA: LÍNEA DE VIDA DE UN ACTIVO INMOBILIARIO</t>
  </si>
  <si>
    <t>PROGRAMAS TECNOLÓGICOS - DESCRIPCIÓN INVERSIONES POR PROYECTO (Considere la descripción establecida en el numeral 11 de las Bases Técnicas y subnumeral 4.6 de las Bases Administrativas Generales)</t>
  </si>
  <si>
    <t>PROGRAMAS TECNOLÓGICOS - PRESUPUESTO TOTAL</t>
  </si>
  <si>
    <t>N°</t>
  </si>
  <si>
    <t>PROGRAMAS TECNOLÓGICOS - APORTE DE PARTICIPANTES</t>
  </si>
  <si>
    <t>NOMBRE PROYECTO</t>
  </si>
  <si>
    <t>NOMBRE INVERSIÓN</t>
  </si>
  <si>
    <t>JUSTIFICACIÓN</t>
  </si>
  <si>
    <t>SUBSIDIO CORFO ($)</t>
  </si>
  <si>
    <t>SUBSIDIO TOTAL CORFO ($)</t>
  </si>
  <si>
    <t>APORTE PROGRAMA TECNOLÓGICO ($)</t>
  </si>
  <si>
    <t>TOTAL PROGRAMA ($)</t>
  </si>
  <si>
    <t>MES DE COMPRA</t>
  </si>
  <si>
    <t>PROGRAMAS TECNOLÓGICOS - DETALLES PERSONAL PREEXISTENTE</t>
  </si>
  <si>
    <t>DETALLE DEL APORTE AL PROGRAMA ($)</t>
  </si>
  <si>
    <t>APORTES PARTICIPANTES DEL PROGRAMA</t>
  </si>
  <si>
    <t>P1 · Evaluación del activo y búsqueda de terreno con IA (piloto DS49)</t>
  </si>
  <si>
    <t>Computadores y servidores con capacidades de trabajar con IA</t>
  </si>
  <si>
    <t>COSTO TOTAL PROGRAMA ($)</t>
  </si>
  <si>
    <t>Procesamiento de datos territoriales y entrenamiento de los modelos del índice de terreno</t>
  </si>
  <si>
    <t>RECURSOS HUMANOS ($)</t>
  </si>
  <si>
    <t>MES INICIO</t>
  </si>
  <si>
    <t>NOMBRE</t>
  </si>
  <si>
    <t>GASTOS OPERACIÓN ($)</t>
  </si>
  <si>
    <t>FUNCIÓN</t>
  </si>
  <si>
    <t>MES TÉRMINO</t>
  </si>
  <si>
    <t>GASTOS INVERSIÓN ($)</t>
  </si>
  <si>
    <t>N°  PROYECTO</t>
  </si>
  <si>
    <t>NOMBRE ENTIDAD A LA QUE PERTENECE</t>
  </si>
  <si>
    <t>GASTOS ADMINISTRACIÓN ($)</t>
  </si>
  <si>
    <t>SUBSIDIO CORFO $</t>
  </si>
  <si>
    <t>NOMBRE CORTO DEL PROYECTO</t>
  </si>
  <si>
    <t>APORTE PROGRAMA TECNOLÓGICO</t>
  </si>
  <si>
    <t>TOTAL</t>
  </si>
  <si>
    <t>ROL PARTICIPACIÓN PROGRAMA (Beneficiario, Coejecutor, Asociado, Interesdo)</t>
  </si>
  <si>
    <t>OPERACIÓN           ($)</t>
  </si>
  <si>
    <t>NOMBRE ENTIDAD</t>
  </si>
  <si>
    <t>INVERSIÓN             ($)</t>
  </si>
  <si>
    <t>PROYECTO(S) EN EL CUAL APORTA LA ENTIDAD</t>
  </si>
  <si>
    <t>PECUNIARIO</t>
  </si>
  <si>
    <t>ADMINISTRACIÓN ($)</t>
  </si>
  <si>
    <t>SUBSIDIO TOTAL</t>
  </si>
  <si>
    <t>VALORIZADO</t>
  </si>
  <si>
    <t>OPERACIÓN ($)</t>
  </si>
  <si>
    <t>Pecuniario $</t>
  </si>
  <si>
    <t>Valorizado $</t>
  </si>
  <si>
    <t>Beneficiario</t>
  </si>
  <si>
    <t>Carmen Gloria Zúñiga de Kartzow</t>
  </si>
  <si>
    <t>DTE Consulting &amp; Development SpA</t>
  </si>
  <si>
    <t>Directora del Programa</t>
  </si>
  <si>
    <t>INVERSIÓN ($)</t>
  </si>
  <si>
    <t>P0, P1, P2, P3, P4</t>
  </si>
  <si>
    <t>APORTE TOTAL ($)</t>
  </si>
  <si>
    <t>P2 · Desarrollo y optimización del proyecto (CAPEX, OPEX y plazos)</t>
  </si>
  <si>
    <t>Equipamiento y licencias capitalizables de modelación BIM</t>
  </si>
  <si>
    <t>Modelación de alternativas de proyecto y cálculo de costos de ciclo de vida</t>
  </si>
  <si>
    <t>Andrés Salgado Henríquez</t>
  </si>
  <si>
    <t>Coordinación del portafolio</t>
  </si>
  <si>
    <t>APORTE PECUNIARIO ($)</t>
  </si>
  <si>
    <t>Coejecutor 1</t>
  </si>
  <si>
    <t>Mauricio Pruzzo Gárate</t>
  </si>
  <si>
    <t xml:space="preserve">Impulso Estratégico CX SpA </t>
  </si>
  <si>
    <t>Especialista normativo y territorial</t>
  </si>
  <si>
    <t>P1</t>
  </si>
  <si>
    <t>Nicolás Caro Zúñiga</t>
  </si>
  <si>
    <t xml:space="preserve">Coordinación de producto y difusión </t>
  </si>
  <si>
    <t>P0</t>
  </si>
  <si>
    <t>Gestión y administración del Programa (OBLIGATORIO)</t>
  </si>
  <si>
    <t>Ariel Ahoner Sáez Caamaño</t>
  </si>
  <si>
    <t xml:space="preserve">Líder técnico de inteligencia artificial </t>
  </si>
  <si>
    <t>Impulso Estratégico CX SpA</t>
  </si>
  <si>
    <t>Coejecutor 2</t>
  </si>
  <si>
    <t xml:space="preserve">In-Data · </t>
  </si>
  <si>
    <t>P3 · Integración de especialistas en obra ("Zapatilla")</t>
  </si>
  <si>
    <t>Equipamiento de captura en obra (tabletas robustas y sensores)</t>
  </si>
  <si>
    <t>Registro en terreno de avance, calidad y seguridad para los cuatro índices de obra</t>
  </si>
  <si>
    <t>Coejecutor 3</t>
  </si>
  <si>
    <t xml:space="preserve">Geister · </t>
  </si>
  <si>
    <t>P2</t>
  </si>
  <si>
    <t>P4 · Mantenimiento predictivo y línea de vida del activo</t>
  </si>
  <si>
    <t>Infraestructura de datos para operación y mantenimiento</t>
  </si>
  <si>
    <t>Histórico del activo, garantías y predicción de mantenciones durante la operación</t>
  </si>
  <si>
    <t>Federico Orduz</t>
  </si>
  <si>
    <t>Equipo técnico de desarrollo de IA y know-how aplicado al producto conjunto (P1)</t>
  </si>
  <si>
    <t>Coejecutor 4</t>
  </si>
  <si>
    <t xml:space="preserve">ONDAC · </t>
  </si>
  <si>
    <t>P3</t>
  </si>
  <si>
    <t>Coejecutor 5</t>
  </si>
  <si>
    <t>Mauricio Chamorro</t>
  </si>
  <si>
    <t xml:space="preserve">Calidad Cloud · </t>
  </si>
  <si>
    <t>P4</t>
  </si>
  <si>
    <t>Asociado 1</t>
  </si>
  <si>
    <t>ANRI A.G. (Asociación Nacional de Revisores Independientes de Arquitectura)</t>
  </si>
  <si>
    <t>Cristobal Campora</t>
  </si>
  <si>
    <t>Equipo de programación y análisis de big data inmobiliario (P1)</t>
  </si>
  <si>
    <t>In-Data</t>
  </si>
  <si>
    <t>Asociado 2</t>
  </si>
  <si>
    <t>Molina Matta &amp; Asociados</t>
  </si>
  <si>
    <t>Evaluación del activo y búsqueda de terreno con IA (piloto DS49)</t>
  </si>
  <si>
    <t>Daniel Minaya</t>
  </si>
  <si>
    <t>Nicolás Geister</t>
  </si>
  <si>
    <t xml:space="preserve">Equipo BIM y coordinación de especialidades </t>
  </si>
  <si>
    <t>Geister</t>
  </si>
  <si>
    <t>Antonia Jimenez</t>
  </si>
  <si>
    <t>Carlos Herrera</t>
  </si>
  <si>
    <t>Equipo de precios, presupuestos y programa de compras (P2, P3 y P4)</t>
  </si>
  <si>
    <t>ONDAC</t>
  </si>
  <si>
    <t>Desarrollo y optimización del proyecto (CAPEX, OPEX y plazos)</t>
  </si>
  <si>
    <t>Carlos Zambrano</t>
  </si>
  <si>
    <t>Ricardo León</t>
  </si>
  <si>
    <t>Equipo de facility management y normalización de protocolos (P3 y P4)</t>
  </si>
  <si>
    <t>Calidad Cloud</t>
  </si>
  <si>
    <t xml:space="preserve">TOTAL </t>
  </si>
  <si>
    <t>Franze Fahrenkrog</t>
  </si>
  <si>
    <t>Integración de especialistas en obra ("Zapatilla")</t>
  </si>
  <si>
    <t>Mantenimiento predictivo y línea de vida del activo</t>
  </si>
  <si>
    <t>Refiérase a la descripción establecida en las bases técnicas, en el subnumeral 7.1 Actividades y gastos generales del proyecto a) equipo de trabajo del programa</t>
  </si>
  <si>
    <t xml:space="preserve">a) Equipo de trabajo del Programa, cuya participación sea necesaria y esté directamente vinculada a la ejecución del mismo, el cual deberá presupuestarse en la cuenta “Recursos Humanos”. </t>
  </si>
  <si>
    <t xml:space="preserve"> - Con recursos del subsidio, se podrá financiar las remuneraciones y/u honorarios del personal nuevo y/o preexistente del beneficiario y/o coejecutor(es).
    No se establecen topes de subsidio para financiar al personal nuevo, no obstante, sólo se podrá destinar como máximo hasta un 25.00% del mismo al personal preexistente.
    Se entiende por personal preexistente el que esté contratado por el participante al momento de la postulación.</t>
  </si>
  <si>
    <t xml:space="preserve"> - Con aportes del beneficiario, coejecutor y/o asociados, se podrán financiar las remuneraciones y/u honorarios de personal nuevo y/o prexistente de los mismos (este último    caso aplica sólo cuando en el llamado se permitan aportes “preexistentes” o “valorados”).</t>
  </si>
  <si>
    <t>TOTAL PROGRAMA</t>
  </si>
  <si>
    <t>PROGRAMAS TECNOLÓGICOS - PRESUPUESTO TOTAL POR FUENTE DE FINANCIAMIENTO</t>
  </si>
  <si>
    <t>N° DE PROYECTO</t>
  </si>
  <si>
    <t>SUBSIDIO TOTAL CORFO</t>
  </si>
  <si>
    <t>BENEFICIARIA</t>
  </si>
  <si>
    <t xml:space="preserve">COEJECUTOR 1 </t>
  </si>
  <si>
    <t>COEJECUTOR 2</t>
  </si>
  <si>
    <t>COEJECUTOR 3</t>
  </si>
  <si>
    <t>COEJECUTOR 4</t>
  </si>
  <si>
    <t>COEJECUTOR 5</t>
  </si>
  <si>
    <t>ASOCIADO 1</t>
  </si>
  <si>
    <t>ASOCIADO 2</t>
  </si>
  <si>
    <t>APORTE NO PECUNIARIO ($)</t>
  </si>
  <si>
    <t>PROGRAMAS TECNOLÓGICOS - CARTA GANTT (Debe incluir Proyecto de Gestión y Administración)</t>
  </si>
  <si>
    <t>N° Proyecto</t>
  </si>
  <si>
    <t>Nombre del proyecto</t>
  </si>
  <si>
    <t>AÑO 1</t>
  </si>
  <si>
    <t>AÑO 2</t>
  </si>
  <si>
    <t>AÑO 3</t>
  </si>
  <si>
    <t>AÑO 4</t>
  </si>
  <si>
    <t>AÑO 5</t>
  </si>
  <si>
    <t>PROGRAMAS TECNOLÓGICOS - DETALLE PRESUPUESTO POR CUENTAS</t>
  </si>
  <si>
    <t>TOTAL PROGRAMA (S)</t>
  </si>
  <si>
    <t>RECURSOS HUMANOS ($) (Sólo se podrá destinar como máximo hasta un 25,00% del subsidio a personal preexistente, de acuerdo al Subnumeral 7.1  de las bases técnica)</t>
  </si>
  <si>
    <t>Profesionales (Nuevos y Preexistentes)</t>
  </si>
  <si>
    <t>Técnicos (Nuevos y Preexistentes)</t>
  </si>
  <si>
    <t>Otros (Nuevos y Preexistentes)</t>
  </si>
  <si>
    <t>GASTOS DE OPERACIÓN ($)</t>
  </si>
  <si>
    <t>Estudios o similares</t>
  </si>
  <si>
    <t>Insumos varios</t>
  </si>
  <si>
    <t>Analisis de laboratorio</t>
  </si>
  <si>
    <t>Adecuación/Mantención Infraestructura (no inversión)</t>
  </si>
  <si>
    <t>Viáticos, Movilización, traslado matriales y logística</t>
  </si>
  <si>
    <t xml:space="preserve">Comunicación y difusión </t>
  </si>
  <si>
    <t>Uso de equipamiento e infraestrutura para desarrollo del proyecto)</t>
  </si>
  <si>
    <t>Materias primas para pruebas pilotos</t>
  </si>
  <si>
    <t>Asesoria legal, contratos protección de Pi, actividades afines</t>
  </si>
  <si>
    <t>Estudios de impacto ambiental</t>
  </si>
  <si>
    <t>Certificaciones y regulaciones</t>
  </si>
  <si>
    <t>Otros</t>
  </si>
  <si>
    <t>INVERSIÓN ($) (No puede superar el 30,00% del subsidio solicitado, de acuerdo al numeral 11 de las Bases del Instrumento. Aspectos Presupuestarios de las Bases Técnicas)</t>
  </si>
  <si>
    <t>Equipamiento</t>
  </si>
  <si>
    <t xml:space="preserve">Infraestructura </t>
  </si>
  <si>
    <t>ADMINISTRACIÓN ($) (Se podrá destinar como máximo hasta un 10% del subsidio a este tipo de gastos, de acuerdo al numeral 11 de las Bases del Instrumento. Aspectos Presupuestarios de las Bases Técnicas)</t>
  </si>
  <si>
    <t>Servicios básicos</t>
  </si>
  <si>
    <t>Servicios de Contabilidad</t>
  </si>
  <si>
    <t>Personal Administrativo de apoyo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</si>
</sst>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 * #,##0_ ;_ * \-#,##0_ ;_ * &quot;-&quot;_ ;_ @_ "/>
    <numFmt numFmtId="165" formatCode="&quot;$&quot;#,##0"/>
  </numFmts>
  <fonts count="15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theme="1"/>
      <name val="Calibri"/>
    </font>
    <font/>
    <font>
      <sz val="10.0"/>
      <color theme="1"/>
      <name val="Calibri"/>
    </font>
    <font>
      <b/>
      <sz val="10.0"/>
      <color theme="1"/>
      <name val="Calibri"/>
    </font>
    <font>
      <b/>
      <sz val="11.0"/>
      <color theme="1"/>
      <name val="Calibri"/>
    </font>
    <font>
      <b/>
      <sz val="10.0"/>
      <color rgb="FF000000"/>
      <name val="Calibri"/>
    </font>
    <font>
      <b/>
      <sz val="11.0"/>
      <color rgb="FFE36C09"/>
      <name val="Calibri"/>
    </font>
    <font>
      <b/>
      <sz val="12.0"/>
      <color rgb="FF000000"/>
      <name val="Calibri"/>
    </font>
    <font>
      <b/>
      <sz val="12.0"/>
      <color theme="1"/>
      <name val="Calibri"/>
    </font>
    <font>
      <color theme="1"/>
      <name val="Calibri"/>
      <scheme val="minor"/>
    </font>
    <font>
      <b/>
      <sz val="14.0"/>
      <color theme="1"/>
      <name val="Calibri"/>
    </font>
    <font>
      <sz val="8.0"/>
      <color theme="1"/>
      <name val="Calibri"/>
    </font>
    <font>
      <sz val="9.0"/>
      <color theme="0"/>
      <name val="Calibri"/>
    </font>
  </fonts>
  <fills count="1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FBD4B4"/>
        <bgColor rgb="FFFBD4B4"/>
      </patternFill>
    </fill>
    <fill>
      <patternFill patternType="solid">
        <fgColor rgb="FFB2A1C7"/>
        <bgColor rgb="FFB2A1C7"/>
      </patternFill>
    </fill>
    <fill>
      <patternFill patternType="solid">
        <fgColor theme="6"/>
        <bgColor theme="6"/>
      </patternFill>
    </fill>
    <fill>
      <patternFill patternType="solid">
        <fgColor rgb="FFC6D9F1"/>
        <bgColor rgb="FFC6D9F1"/>
      </patternFill>
    </fill>
    <fill>
      <patternFill patternType="solid">
        <fgColor rgb="FFE5DFEC"/>
        <bgColor rgb="FFE5DFEC"/>
      </patternFill>
    </fill>
    <fill>
      <patternFill patternType="solid">
        <fgColor rgb="FFCCC0D9"/>
        <bgColor rgb="FFCCC0D9"/>
      </patternFill>
    </fill>
    <fill>
      <patternFill patternType="solid">
        <fgColor rgb="FFC6D9F0"/>
        <bgColor rgb="FFC6D9F0"/>
      </patternFill>
    </fill>
    <fill>
      <patternFill patternType="solid">
        <fgColor rgb="FFD6E3BC"/>
        <bgColor rgb="FFD6E3BC"/>
      </patternFill>
    </fill>
    <fill>
      <patternFill patternType="solid">
        <fgColor rgb="FFB8CCE4"/>
        <bgColor rgb="FFB8CCE4"/>
      </patternFill>
    </fill>
    <fill>
      <patternFill patternType="solid">
        <fgColor rgb="FF92CDDC"/>
        <bgColor rgb="FF92CDDC"/>
      </patternFill>
    </fill>
    <fill>
      <patternFill patternType="solid">
        <fgColor rgb="FF31859B"/>
        <bgColor rgb="FF31859B"/>
      </patternFill>
    </fill>
  </fills>
  <borders count="106">
    <border/>
    <border>
      <left/>
      <top/>
      <bottom/>
    </border>
    <border>
      <top/>
      <bottom/>
    </border>
    <border>
      <left/>
      <right/>
      <top/>
      <bottom/>
    </border>
    <border>
      <righ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</border>
    <border>
      <left/>
      <right/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/>
      <top style="medium">
        <color rgb="FF000000"/>
      </top>
      <bottom style="thin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/>
      <right/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top style="thin">
        <color rgb="FF000000"/>
      </top>
    </border>
    <border>
      <top style="medium">
        <color rgb="FF000000"/>
      </top>
    </border>
    <border>
      <right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/>
      <top style="medium">
        <color rgb="FF000000"/>
      </top>
      <bottom/>
    </border>
    <border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/>
      <bottom/>
    </border>
    <border>
      <left/>
      <right style="medium">
        <color rgb="FF000000"/>
      </right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left"/>
    </xf>
    <xf borderId="2" fillId="0" fontId="3" numFmtId="0" xfId="0" applyBorder="1" applyFont="1"/>
    <xf borderId="3" fillId="2" fontId="1" numFmtId="0" xfId="0" applyBorder="1" applyFill="1" applyFont="1"/>
    <xf borderId="4" fillId="0" fontId="3" numFmtId="0" xfId="0" applyBorder="1" applyFont="1"/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1" fillId="2" fontId="2" numFmtId="0" xfId="0" applyAlignment="1" applyBorder="1" applyFill="1" applyFont="1">
      <alignment horizontal="left" vertical="center"/>
    </xf>
    <xf borderId="0" fillId="0" fontId="4" numFmtId="0" xfId="0" applyFont="1"/>
    <xf borderId="5" fillId="3" fontId="5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vertical="center"/>
    </xf>
    <xf borderId="6" fillId="3" fontId="5" numFmtId="0" xfId="0" applyAlignment="1" applyBorder="1" applyFill="1" applyFont="1">
      <alignment horizontal="center" shrinkToFit="0" vertical="center" wrapText="1"/>
    </xf>
    <xf borderId="3" fillId="2" fontId="1" numFmtId="0" xfId="0" applyAlignment="1" applyBorder="1" applyFill="1" applyFont="1">
      <alignment vertical="top"/>
    </xf>
    <xf borderId="7" fillId="4" fontId="5" numFmtId="0" xfId="0" applyAlignment="1" applyBorder="1" applyFill="1" applyFont="1">
      <alignment horizontal="center" shrinkToFit="0" vertical="center" wrapText="1"/>
    </xf>
    <xf borderId="3" fillId="2" fontId="2" numFmtId="0" xfId="0" applyAlignment="1" applyBorder="1" applyFill="1" applyFont="1">
      <alignment vertical="center"/>
    </xf>
    <xf borderId="6" fillId="5" fontId="5" numFmtId="0" xfId="0" applyAlignment="1" applyBorder="1" applyFill="1" applyFont="1">
      <alignment horizontal="center" shrinkToFit="0" vertical="center" wrapText="1"/>
    </xf>
    <xf borderId="8" fillId="4" fontId="6" numFmtId="0" xfId="0" applyAlignment="1" applyBorder="1" applyFill="1" applyFont="1">
      <alignment horizontal="center" vertical="top"/>
    </xf>
    <xf borderId="7" fillId="6" fontId="5" numFmtId="0" xfId="0" applyAlignment="1" applyBorder="1" applyFill="1" applyFont="1">
      <alignment horizontal="center" shrinkToFit="0" vertical="center" wrapText="1"/>
    </xf>
    <xf borderId="9" fillId="0" fontId="3" numFmtId="0" xfId="0" applyBorder="1" applyFont="1"/>
    <xf borderId="6" fillId="7" fontId="5" numFmtId="0" xfId="0" applyAlignment="1" applyBorder="1" applyFill="1" applyFont="1">
      <alignment horizontal="center" shrinkToFit="0" vertical="center" wrapText="1"/>
    </xf>
    <xf borderId="10" fillId="0" fontId="3" numFmtId="0" xfId="0" applyBorder="1" applyFont="1"/>
    <xf borderId="11" fillId="5" fontId="6" numFmtId="0" xfId="0" applyAlignment="1" applyBorder="1" applyFill="1" applyFont="1">
      <alignment horizontal="center" vertical="center"/>
    </xf>
    <xf borderId="12" fillId="0" fontId="3" numFmtId="0" xfId="0" applyBorder="1" applyFont="1"/>
    <xf borderId="13" fillId="0" fontId="6" numFmtId="0" xfId="0" applyAlignment="1" applyBorder="1" applyFont="1">
      <alignment horizontal="center"/>
    </xf>
    <xf borderId="8" fillId="5" fontId="6" numFmtId="0" xfId="0" applyAlignment="1" applyBorder="1" applyFill="1" applyFont="1">
      <alignment horizontal="center" shrinkToFit="0" vertical="top" wrapText="1"/>
    </xf>
    <xf borderId="14" fillId="0" fontId="3" numFmtId="0" xfId="0" applyBorder="1" applyFont="1"/>
    <xf borderId="13" fillId="0" fontId="1" numFmtId="0" xfId="0" applyBorder="1" applyFont="1"/>
    <xf borderId="15" fillId="0" fontId="1" numFmtId="3" xfId="0" applyAlignment="1" applyBorder="1" applyFont="1" applyNumberFormat="1">
      <alignment readingOrder="0"/>
    </xf>
    <xf borderId="16" fillId="6" fontId="5" numFmtId="0" xfId="0" applyAlignment="1" applyBorder="1" applyFill="1" applyFont="1">
      <alignment horizontal="center" shrinkToFit="0" vertical="top" wrapText="1"/>
    </xf>
    <xf borderId="11" fillId="5" fontId="5" numFmtId="0" xfId="0" applyAlignment="1" applyBorder="1" applyFill="1" applyFont="1">
      <alignment horizontal="center" shrinkToFit="0" vertical="center" wrapText="1"/>
    </xf>
    <xf borderId="16" fillId="0" fontId="5" numFmtId="0" xfId="0" applyAlignment="1" applyBorder="1" applyFont="1">
      <alignment horizontal="center" vertical="center"/>
    </xf>
    <xf borderId="17" fillId="0" fontId="3" numFmtId="0" xfId="0" applyBorder="1" applyFont="1"/>
    <xf borderId="18" fillId="8" fontId="5" numFmtId="0" xfId="0" applyAlignment="1" applyBorder="1" applyFill="1" applyFont="1">
      <alignment horizontal="center" shrinkToFit="0" vertical="top" wrapText="1"/>
    </xf>
    <xf borderId="15" fillId="0" fontId="1" numFmtId="3" xfId="0" applyBorder="1" applyFont="1" applyNumberFormat="1"/>
    <xf borderId="16" fillId="8" fontId="5" numFmtId="0" xfId="0" applyAlignment="1" applyBorder="1" applyFill="1" applyFont="1">
      <alignment horizontal="center" shrinkToFit="0" vertical="top" wrapText="1"/>
    </xf>
    <xf borderId="19" fillId="0" fontId="5" numFmtId="0" xfId="0" applyAlignment="1" applyBorder="1" applyFont="1">
      <alignment horizontal="center" vertical="center"/>
    </xf>
    <xf borderId="20" fillId="5" fontId="6" numFmtId="0" xfId="0" applyAlignment="1" applyBorder="1" applyFill="1" applyFont="1">
      <alignment horizontal="center" vertical="center"/>
    </xf>
    <xf borderId="16" fillId="0" fontId="5" numFmtId="0" xfId="0" applyAlignment="1" applyBorder="1" applyFont="1">
      <alignment horizontal="center" shrinkToFit="0" vertical="center" wrapText="1"/>
    </xf>
    <xf borderId="18" fillId="2" fontId="7" numFmtId="0" xfId="0" applyAlignment="1" applyBorder="1" applyFill="1" applyFont="1">
      <alignment horizontal="center" shrinkToFit="0" vertical="top" wrapText="1"/>
    </xf>
    <xf borderId="16" fillId="4" fontId="5" numFmtId="0" xfId="0" applyAlignment="1" applyBorder="1" applyFill="1" applyFont="1">
      <alignment horizontal="center" shrinkToFit="0" vertical="center" wrapText="1"/>
    </xf>
    <xf borderId="16" fillId="2" fontId="7" numFmtId="0" xfId="0" applyAlignment="1" applyBorder="1" applyFill="1" applyFont="1">
      <alignment horizontal="center" shrinkToFit="0" vertical="top" wrapText="1"/>
    </xf>
    <xf borderId="8" fillId="5" fontId="5" numFmtId="0" xfId="0" applyAlignment="1" applyBorder="1" applyFill="1" applyFont="1">
      <alignment horizontal="center" shrinkToFit="0" vertical="center" wrapText="1"/>
    </xf>
    <xf borderId="21" fillId="5" fontId="6" numFmtId="0" xfId="0" applyAlignment="1" applyBorder="1" applyFill="1" applyFont="1">
      <alignment horizontal="center" vertical="center"/>
    </xf>
    <xf borderId="16" fillId="4" fontId="5" numFmtId="0" xfId="0" applyAlignment="1" applyBorder="1" applyFill="1" applyFont="1">
      <alignment horizontal="center" shrinkToFit="0" vertical="top" wrapText="1"/>
    </xf>
    <xf borderId="6" fillId="2" fontId="7" numFmtId="0" xfId="0" applyAlignment="1" applyBorder="1" applyFill="1" applyFont="1">
      <alignment horizontal="center" shrinkToFit="0" vertical="center" wrapText="1"/>
    </xf>
    <xf borderId="22" fillId="4" fontId="5" numFmtId="0" xfId="0" applyAlignment="1" applyBorder="1" applyFill="1" applyFont="1">
      <alignment horizontal="center" shrinkToFit="0" vertical="top" wrapText="1"/>
    </xf>
    <xf borderId="5" fillId="2" fontId="7" numFmtId="0" xfId="0" applyAlignment="1" applyBorder="1" applyFill="1" applyFont="1">
      <alignment horizontal="center" shrinkToFit="0" vertical="center" wrapText="1"/>
    </xf>
    <xf borderId="16" fillId="6" fontId="5" numFmtId="0" xfId="0" applyAlignment="1" applyBorder="1" applyFill="1" applyFont="1">
      <alignment horizontal="center" shrinkToFit="0" vertical="center" wrapText="1"/>
    </xf>
    <xf borderId="23" fillId="5" fontId="5" numFmtId="0" xfId="0" applyAlignment="1" applyBorder="1" applyFill="1" applyFont="1">
      <alignment horizontal="center" shrinkToFit="0" vertical="center" wrapText="1"/>
    </xf>
    <xf borderId="24" fillId="0" fontId="1" numFmtId="3" xfId="0" applyBorder="1" applyFont="1" applyNumberFormat="1"/>
    <xf borderId="18" fillId="4" fontId="5" numFmtId="0" xfId="0" applyAlignment="1" applyBorder="1" applyFill="1" applyFont="1">
      <alignment horizontal="center" shrinkToFit="0" vertical="top" wrapText="1"/>
    </xf>
    <xf borderId="25" fillId="5" fontId="5" numFmtId="0" xfId="0" applyAlignment="1" applyBorder="1" applyFill="1" applyFont="1">
      <alignment horizontal="center" shrinkToFit="0" vertical="center" wrapText="1"/>
    </xf>
    <xf borderId="26" fillId="2" fontId="1" numFmtId="3" xfId="0" applyAlignment="1" applyBorder="1" applyFill="1" applyFont="1" applyNumberFormat="1">
      <alignment readingOrder="0"/>
    </xf>
    <xf borderId="27" fillId="5" fontId="5" numFmtId="0" xfId="0" applyAlignment="1" applyBorder="1" applyFill="1" applyFont="1">
      <alignment horizontal="center" shrinkToFit="0" vertical="top" wrapText="1"/>
    </xf>
    <xf borderId="28" fillId="5" fontId="5" numFmtId="0" xfId="0" applyAlignment="1" applyBorder="1" applyFill="1" applyFont="1">
      <alignment horizontal="center" shrinkToFit="0" vertical="center" wrapText="1"/>
    </xf>
    <xf borderId="29" fillId="0" fontId="3" numFmtId="0" xfId="0" applyBorder="1" applyFont="1"/>
    <xf borderId="30" fillId="0" fontId="3" numFmtId="0" xfId="0" applyBorder="1" applyFont="1"/>
    <xf borderId="31" fillId="5" fontId="5" numFmtId="0" xfId="0" applyAlignment="1" applyBorder="1" applyFill="1" applyFont="1">
      <alignment horizontal="center" shrinkToFit="0" vertical="center" wrapText="1"/>
    </xf>
    <xf borderId="32" fillId="0" fontId="3" numFmtId="0" xfId="0" applyBorder="1" applyFont="1"/>
    <xf borderId="33" fillId="5" fontId="5" numFmtId="0" xfId="0" applyAlignment="1" applyBorder="1" applyFill="1" applyFont="1">
      <alignment horizontal="center" shrinkToFit="0" vertical="top" wrapText="1"/>
    </xf>
    <xf borderId="34" fillId="0" fontId="3" numFmtId="0" xfId="0" applyBorder="1" applyFont="1"/>
    <xf borderId="5" fillId="5" fontId="5" numFmtId="0" xfId="0" applyAlignment="1" applyBorder="1" applyFill="1" applyFont="1">
      <alignment horizontal="center" shrinkToFit="0" vertical="center" wrapText="1"/>
    </xf>
    <xf borderId="35" fillId="9" fontId="1" numFmtId="3" xfId="0" applyBorder="1" applyFill="1" applyFont="1" applyNumberFormat="1"/>
    <xf borderId="36" fillId="0" fontId="6" numFmtId="0" xfId="0" applyBorder="1" applyFont="1"/>
    <xf borderId="15" fillId="0" fontId="6" numFmtId="0" xfId="0" applyAlignment="1" applyBorder="1" applyFont="1">
      <alignment horizontal="center"/>
    </xf>
    <xf borderId="36" fillId="0" fontId="1" numFmtId="3" xfId="0" applyAlignment="1" applyBorder="1" applyFont="1" applyNumberFormat="1">
      <alignment readingOrder="0"/>
    </xf>
    <xf borderId="15" fillId="0" fontId="1" numFmtId="0" xfId="0" applyBorder="1" applyFont="1"/>
    <xf borderId="37" fillId="0" fontId="3" numFmtId="0" xfId="0" applyBorder="1" applyFont="1"/>
    <xf borderId="24" fillId="0" fontId="1" numFmtId="164" xfId="0" applyBorder="1" applyFont="1" applyNumberFormat="1"/>
    <xf borderId="27" fillId="0" fontId="8" numFmtId="0" xfId="0" applyBorder="1" applyFont="1"/>
    <xf borderId="24" fillId="0" fontId="1" numFmtId="164" xfId="0" applyAlignment="1" applyBorder="1" applyFont="1" applyNumberFormat="1">
      <alignment readingOrder="0"/>
    </xf>
    <xf borderId="36" fillId="0" fontId="8" numFmtId="0" xfId="0" applyBorder="1" applyFont="1"/>
    <xf borderId="38" fillId="0" fontId="6" numFmtId="3" xfId="0" applyAlignment="1" applyBorder="1" applyFont="1" applyNumberFormat="1">
      <alignment horizontal="center" readingOrder="0" vertical="center"/>
    </xf>
    <xf borderId="39" fillId="0" fontId="1" numFmtId="3" xfId="0" applyAlignment="1" applyBorder="1" applyFont="1" applyNumberFormat="1">
      <alignment readingOrder="0"/>
    </xf>
    <xf borderId="40" fillId="0" fontId="6" numFmtId="0" xfId="0" applyAlignment="1" applyBorder="1" applyFont="1">
      <alignment horizontal="center"/>
    </xf>
    <xf borderId="41" fillId="0" fontId="1" numFmtId="3" xfId="0" applyAlignment="1" applyBorder="1" applyFont="1" applyNumberFormat="1">
      <alignment readingOrder="0"/>
    </xf>
    <xf borderId="16" fillId="5" fontId="5" numFmtId="0" xfId="0" applyAlignment="1" applyBorder="1" applyFill="1" applyFont="1">
      <alignment horizontal="center" shrinkToFit="0" vertical="top" wrapText="1"/>
    </xf>
    <xf borderId="42" fillId="0" fontId="6" numFmtId="3" xfId="0" applyAlignment="1" applyBorder="1" applyFont="1" applyNumberFormat="1">
      <alignment horizontal="center" readingOrder="0" vertical="center"/>
    </xf>
    <xf borderId="43" fillId="0" fontId="3" numFmtId="0" xfId="0" applyBorder="1" applyFont="1"/>
    <xf borderId="40" fillId="0" fontId="1" numFmtId="0" xfId="0" applyBorder="1" applyFont="1"/>
    <xf borderId="44" fillId="0" fontId="6" numFmtId="3" xfId="0" applyAlignment="1" applyBorder="1" applyFont="1" applyNumberFormat="1">
      <alignment horizontal="center" vertical="center"/>
    </xf>
    <xf borderId="45" fillId="0" fontId="3" numFmtId="0" xfId="0" applyBorder="1" applyFont="1"/>
    <xf borderId="26" fillId="9" fontId="5" numFmtId="164" xfId="0" applyAlignment="1" applyBorder="1" applyFill="1" applyFont="1" applyNumberFormat="1">
      <alignment horizontal="center" shrinkToFit="0" vertical="center" wrapText="1"/>
    </xf>
    <xf borderId="46" fillId="0" fontId="6" numFmtId="3" xfId="0" applyAlignment="1" applyBorder="1" applyFont="1" applyNumberFormat="1">
      <alignment horizontal="center" vertical="center"/>
    </xf>
    <xf borderId="47" fillId="0" fontId="1" numFmtId="3" xfId="0" applyBorder="1" applyFont="1" applyNumberFormat="1"/>
    <xf borderId="48" fillId="0" fontId="3" numFmtId="0" xfId="0" applyBorder="1" applyFont="1"/>
    <xf borderId="49" fillId="0" fontId="3" numFmtId="0" xfId="0" applyBorder="1" applyFont="1"/>
    <xf borderId="15" fillId="0" fontId="1" numFmtId="0" xfId="0" applyAlignment="1" applyBorder="1" applyFont="1">
      <alignment readingOrder="0"/>
    </xf>
    <xf borderId="50" fillId="5" fontId="6" numFmtId="3" xfId="0" applyAlignment="1" applyBorder="1" applyFill="1" applyFont="1" applyNumberFormat="1">
      <alignment horizontal="right" vertical="center"/>
    </xf>
    <xf borderId="51" fillId="5" fontId="5" numFmtId="0" xfId="0" applyAlignment="1" applyBorder="1" applyFill="1" applyFont="1">
      <alignment horizontal="center" shrinkToFit="0" vertical="top" wrapText="1"/>
    </xf>
    <xf borderId="47" fillId="2" fontId="1" numFmtId="3" xfId="0" applyBorder="1" applyFill="1" applyFont="1" applyNumberFormat="1"/>
    <xf borderId="47" fillId="0" fontId="6" numFmtId="0" xfId="0" applyBorder="1" applyFont="1"/>
    <xf borderId="52" fillId="5" fontId="5" numFmtId="0" xfId="0" applyAlignment="1" applyBorder="1" applyFill="1" applyFont="1">
      <alignment horizontal="center" shrinkToFit="0" vertical="top" wrapText="1"/>
    </xf>
    <xf borderId="13" fillId="0" fontId="8" numFmtId="0" xfId="0" applyBorder="1" applyFont="1"/>
    <xf borderId="15" fillId="0" fontId="8" numFmtId="0" xfId="0" applyBorder="1" applyFont="1"/>
    <xf borderId="53" fillId="5" fontId="5" numFmtId="0" xfId="0" applyAlignment="1" applyBorder="1" applyFill="1" applyFont="1">
      <alignment horizontal="center" shrinkToFit="0" vertical="top" wrapText="1"/>
    </xf>
    <xf borderId="54" fillId="0" fontId="6" numFmtId="3" xfId="0" applyAlignment="1" applyBorder="1" applyFont="1" applyNumberFormat="1">
      <alignment horizontal="center" vertical="center"/>
    </xf>
    <xf borderId="47" fillId="0" fontId="1" numFmtId="3" xfId="0" applyAlignment="1" applyBorder="1" applyFont="1" applyNumberFormat="1">
      <alignment readingOrder="0"/>
    </xf>
    <xf borderId="55" fillId="0" fontId="6" numFmtId="3" xfId="0" applyAlignment="1" applyBorder="1" applyFont="1" applyNumberFormat="1">
      <alignment horizontal="center" vertical="center"/>
    </xf>
    <xf borderId="56" fillId="0" fontId="6" numFmtId="3" xfId="0" applyAlignment="1" applyBorder="1" applyFont="1" applyNumberFormat="1">
      <alignment horizontal="center" vertical="center"/>
    </xf>
    <xf borderId="57" fillId="0" fontId="6" numFmtId="3" xfId="0" applyAlignment="1" applyBorder="1" applyFont="1" applyNumberFormat="1">
      <alignment horizontal="center" vertical="center"/>
    </xf>
    <xf borderId="41" fillId="0" fontId="6" numFmtId="3" xfId="0" applyAlignment="1" applyBorder="1" applyFont="1" applyNumberFormat="1">
      <alignment horizontal="center" vertical="center"/>
    </xf>
    <xf borderId="36" fillId="0" fontId="6" numFmtId="0" xfId="0" applyAlignment="1" applyBorder="1" applyFont="1">
      <alignment horizontal="center" vertical="top"/>
    </xf>
    <xf borderId="15" fillId="0" fontId="6" numFmtId="0" xfId="0" applyAlignment="1" applyBorder="1" applyFont="1">
      <alignment vertical="top"/>
    </xf>
    <xf borderId="58" fillId="5" fontId="6" numFmtId="3" xfId="0" applyAlignment="1" applyBorder="1" applyFill="1" applyFont="1" applyNumberFormat="1">
      <alignment horizontal="right" vertical="center"/>
    </xf>
    <xf borderId="15" fillId="0" fontId="6" numFmtId="3" xfId="0" applyAlignment="1" applyBorder="1" applyFont="1" applyNumberFormat="1">
      <alignment horizontal="center" readingOrder="0" vertical="top"/>
    </xf>
    <xf borderId="24" fillId="0" fontId="6" numFmtId="3" xfId="0" applyAlignment="1" applyBorder="1" applyFont="1" applyNumberFormat="1">
      <alignment horizontal="center" readingOrder="0" vertical="top"/>
    </xf>
    <xf borderId="59" fillId="0" fontId="6" numFmtId="3" xfId="0" applyAlignment="1" applyBorder="1" applyFont="1" applyNumberFormat="1">
      <alignment horizontal="center" readingOrder="0" vertical="top"/>
    </xf>
    <xf borderId="40" fillId="0" fontId="8" numFmtId="0" xfId="0" applyBorder="1" applyFont="1"/>
    <xf borderId="47" fillId="0" fontId="8" numFmtId="0" xfId="0" applyBorder="1" applyFont="1"/>
    <xf borderId="57" fillId="0" fontId="1" numFmtId="3" xfId="0" applyAlignment="1" applyBorder="1" applyFont="1" applyNumberFormat="1">
      <alignment readingOrder="0"/>
    </xf>
    <xf borderId="54" fillId="0" fontId="6" numFmtId="3" xfId="0" applyAlignment="1" applyBorder="1" applyFont="1" applyNumberFormat="1">
      <alignment horizontal="center" readingOrder="0" vertical="center"/>
    </xf>
    <xf borderId="57" fillId="0" fontId="1" numFmtId="3" xfId="0" applyBorder="1" applyFont="1" applyNumberFormat="1"/>
    <xf borderId="60" fillId="4" fontId="6" numFmtId="3" xfId="0" applyAlignment="1" applyBorder="1" applyFill="1" applyFont="1" applyNumberFormat="1">
      <alignment horizontal="right" vertical="top"/>
    </xf>
    <xf borderId="41" fillId="0" fontId="1" numFmtId="3" xfId="0" applyBorder="1" applyFont="1" applyNumberFormat="1"/>
    <xf borderId="58" fillId="5" fontId="1" numFmtId="3" xfId="0" applyBorder="1" applyFill="1" applyFont="1" applyNumberFormat="1"/>
    <xf borderId="15" fillId="0" fontId="1" numFmtId="164" xfId="0" applyAlignment="1" applyBorder="1" applyFont="1" applyNumberFormat="1">
      <alignment readingOrder="0"/>
    </xf>
    <xf borderId="54" fillId="0" fontId="6" numFmtId="3" xfId="0" applyAlignment="1" applyBorder="1" applyFont="1" applyNumberFormat="1">
      <alignment horizontal="right" readingOrder="0" vertical="top"/>
    </xf>
    <xf borderId="39" fillId="0" fontId="6" numFmtId="3" xfId="0" applyAlignment="1" applyBorder="1" applyFont="1" applyNumberFormat="1">
      <alignment horizontal="right" vertical="top"/>
    </xf>
    <xf borderId="55" fillId="0" fontId="6" numFmtId="3" xfId="0" applyAlignment="1" applyBorder="1" applyFont="1" applyNumberFormat="1">
      <alignment horizontal="right" readingOrder="0" vertical="top"/>
    </xf>
    <xf borderId="56" fillId="0" fontId="6" numFmtId="3" xfId="0" applyAlignment="1" applyBorder="1" applyFont="1" applyNumberFormat="1">
      <alignment horizontal="right" readingOrder="0" vertical="top"/>
    </xf>
    <xf borderId="61" fillId="0" fontId="1" numFmtId="3" xfId="0" applyBorder="1" applyFont="1" applyNumberFormat="1"/>
    <xf borderId="54" fillId="0" fontId="6" numFmtId="3" xfId="0" applyAlignment="1" applyBorder="1" applyFont="1" applyNumberFormat="1">
      <alignment horizontal="center" vertical="top"/>
    </xf>
    <xf borderId="62" fillId="9" fontId="1" numFmtId="3" xfId="0" applyBorder="1" applyFill="1" applyFont="1" applyNumberFormat="1"/>
    <xf borderId="39" fillId="0" fontId="6" numFmtId="3" xfId="0" applyAlignment="1" applyBorder="1" applyFont="1" applyNumberFormat="1">
      <alignment horizontal="center" vertical="top"/>
    </xf>
    <xf borderId="47" fillId="0" fontId="8" numFmtId="0" xfId="0" applyAlignment="1" applyBorder="1" applyFont="1">
      <alignment readingOrder="0"/>
    </xf>
    <xf borderId="55" fillId="0" fontId="6" numFmtId="3" xfId="0" applyAlignment="1" applyBorder="1" applyFont="1" applyNumberFormat="1">
      <alignment horizontal="center" vertical="top"/>
    </xf>
    <xf borderId="56" fillId="0" fontId="6" numFmtId="3" xfId="0" applyAlignment="1" applyBorder="1" applyFont="1" applyNumberFormat="1">
      <alignment horizontal="center" vertical="top"/>
    </xf>
    <xf borderId="47" fillId="5" fontId="6" numFmtId="3" xfId="0" applyAlignment="1" applyBorder="1" applyFill="1" applyFont="1" applyNumberFormat="1">
      <alignment horizontal="right" vertical="top"/>
    </xf>
    <xf borderId="63" fillId="10" fontId="6" numFmtId="3" xfId="0" applyAlignment="1" applyBorder="1" applyFill="1" applyFont="1" applyNumberFormat="1">
      <alignment horizontal="right" vertical="top"/>
    </xf>
    <xf borderId="64" fillId="11" fontId="6" numFmtId="3" xfId="0" applyAlignment="1" applyBorder="1" applyFill="1" applyFont="1" applyNumberFormat="1">
      <alignment vertical="top"/>
    </xf>
    <xf borderId="39" fillId="0" fontId="6" numFmtId="3" xfId="0" applyAlignment="1" applyBorder="1" applyFont="1" applyNumberFormat="1">
      <alignment horizontal="center" vertical="center"/>
    </xf>
    <xf borderId="36" fillId="11" fontId="6" numFmtId="3" xfId="0" applyAlignment="1" applyBorder="1" applyFill="1" applyFont="1" applyNumberFormat="1">
      <alignment vertical="top"/>
    </xf>
    <xf borderId="3" fillId="2" fontId="1" numFmtId="3" xfId="0" applyBorder="1" applyFill="1" applyFont="1" applyNumberFormat="1"/>
    <xf borderId="47" fillId="0" fontId="6" numFmtId="0" xfId="0" applyAlignment="1" applyBorder="1" applyFont="1">
      <alignment horizontal="center" vertical="top"/>
    </xf>
    <xf borderId="47" fillId="0" fontId="6" numFmtId="0" xfId="0" applyAlignment="1" applyBorder="1" applyFont="1">
      <alignment shrinkToFit="0" vertical="top" wrapText="1"/>
    </xf>
    <xf borderId="61" fillId="0" fontId="6" numFmtId="3" xfId="0" applyAlignment="1" applyBorder="1" applyFont="1" applyNumberFormat="1">
      <alignment horizontal="center" readingOrder="0" vertical="top"/>
    </xf>
    <xf borderId="65" fillId="0" fontId="6" numFmtId="0" xfId="0" applyBorder="1" applyFont="1"/>
    <xf borderId="66" fillId="0" fontId="8" numFmtId="0" xfId="0" applyBorder="1" applyFont="1"/>
    <xf borderId="67" fillId="4" fontId="6" numFmtId="3" xfId="0" applyAlignment="1" applyBorder="1" applyFill="1" applyFont="1" applyNumberFormat="1">
      <alignment horizontal="right" vertical="top"/>
    </xf>
    <xf borderId="65" fillId="0" fontId="8" numFmtId="0" xfId="0" applyBorder="1" applyFont="1"/>
    <xf borderId="51" fillId="0" fontId="1" numFmtId="3" xfId="0" applyBorder="1" applyFont="1" applyNumberFormat="1"/>
    <xf borderId="68" fillId="0" fontId="1" numFmtId="3" xfId="0" applyBorder="1" applyFont="1" applyNumberFormat="1"/>
    <xf borderId="32" fillId="0" fontId="6" numFmtId="3" xfId="0" applyAlignment="1" applyBorder="1" applyFont="1" applyNumberFormat="1">
      <alignment horizontal="center" vertical="center"/>
    </xf>
    <xf borderId="68" fillId="0" fontId="6" numFmtId="3" xfId="0" applyAlignment="1" applyBorder="1" applyFont="1" applyNumberFormat="1">
      <alignment horizontal="center" vertical="center"/>
    </xf>
    <xf borderId="57" fillId="0" fontId="6" numFmtId="3" xfId="0" applyAlignment="1" applyBorder="1" applyFont="1" applyNumberFormat="1">
      <alignment horizontal="right" vertical="top"/>
    </xf>
    <xf borderId="69" fillId="0" fontId="6" numFmtId="3" xfId="0" applyAlignment="1" applyBorder="1" applyFont="1" applyNumberFormat="1">
      <alignment horizontal="center" vertical="center"/>
    </xf>
    <xf borderId="70" fillId="0" fontId="6" numFmtId="3" xfId="0" applyAlignment="1" applyBorder="1" applyFont="1" applyNumberFormat="1">
      <alignment horizontal="center" vertical="center"/>
    </xf>
    <xf borderId="52" fillId="0" fontId="1" numFmtId="3" xfId="0" applyBorder="1" applyFont="1" applyNumberFormat="1"/>
    <xf borderId="71" fillId="5" fontId="1" numFmtId="3" xfId="0" applyBorder="1" applyFill="1" applyFont="1" applyNumberFormat="1"/>
    <xf borderId="3" fillId="2" fontId="6" numFmtId="0" xfId="0" applyAlignment="1" applyBorder="1" applyFill="1" applyFont="1">
      <alignment horizontal="right"/>
    </xf>
    <xf borderId="32" fillId="0" fontId="1" numFmtId="3" xfId="0" applyBorder="1" applyFont="1" applyNumberFormat="1"/>
    <xf borderId="69" fillId="0" fontId="1" numFmtId="3" xfId="0" applyBorder="1" applyFont="1" applyNumberFormat="1"/>
    <xf borderId="70" fillId="0" fontId="1" numFmtId="3" xfId="0" applyBorder="1" applyFont="1" applyNumberFormat="1"/>
    <xf borderId="67" fillId="11" fontId="1" numFmtId="3" xfId="0" applyAlignment="1" applyBorder="1" applyFill="1" applyFont="1" applyNumberFormat="1">
      <alignment readingOrder="0" vertical="top"/>
    </xf>
    <xf borderId="47" fillId="11" fontId="1" numFmtId="3" xfId="0" applyAlignment="1" applyBorder="1" applyFill="1" applyFont="1" applyNumberFormat="1">
      <alignment readingOrder="0" vertical="top"/>
    </xf>
    <xf borderId="72" fillId="5" fontId="1" numFmtId="3" xfId="0" applyBorder="1" applyFill="1" applyFont="1" applyNumberFormat="1"/>
    <xf borderId="66" fillId="0" fontId="6" numFmtId="0" xfId="0" applyAlignment="1" applyBorder="1" applyFont="1">
      <alignment horizontal="center"/>
    </xf>
    <xf borderId="66" fillId="0" fontId="1" numFmtId="0" xfId="0" applyBorder="1" applyFont="1"/>
    <xf borderId="65" fillId="0" fontId="1" numFmtId="3" xfId="0" applyBorder="1" applyFont="1" applyNumberFormat="1"/>
    <xf borderId="73" fillId="0" fontId="1" numFmtId="3" xfId="0" applyBorder="1" applyFont="1" applyNumberFormat="1"/>
    <xf borderId="67" fillId="4" fontId="1" numFmtId="3" xfId="0" applyAlignment="1" applyBorder="1" applyFill="1" applyFont="1" applyNumberFormat="1">
      <alignment vertical="top"/>
    </xf>
    <xf borderId="65" fillId="2" fontId="1" numFmtId="3" xfId="0" applyBorder="1" applyFill="1" applyFont="1" applyNumberFormat="1"/>
    <xf borderId="74" fillId="9" fontId="1" numFmtId="3" xfId="0" applyBorder="1" applyFill="1" applyFont="1" applyNumberFormat="1"/>
    <xf borderId="57" fillId="0" fontId="1" numFmtId="3" xfId="0" applyAlignment="1" applyBorder="1" applyFont="1" applyNumberFormat="1">
      <alignment readingOrder="0" vertical="top"/>
    </xf>
    <xf borderId="11" fillId="12" fontId="9" numFmtId="0" xfId="0" applyAlignment="1" applyBorder="1" applyFill="1" applyFont="1">
      <alignment horizontal="right" shrinkToFit="0" vertical="center" wrapText="1"/>
    </xf>
    <xf borderId="75" fillId="12" fontId="10" numFmtId="3" xfId="0" applyAlignment="1" applyBorder="1" applyFill="1" applyFont="1" applyNumberFormat="1">
      <alignment horizontal="right" shrinkToFit="0" vertical="center" wrapText="1"/>
    </xf>
    <xf borderId="76" fillId="0" fontId="6" numFmtId="0" xfId="0" applyAlignment="1" applyBorder="1" applyFont="1">
      <alignment horizontal="center"/>
    </xf>
    <xf borderId="77" fillId="12" fontId="10" numFmtId="3" xfId="0" applyAlignment="1" applyBorder="1" applyFill="1" applyFont="1" applyNumberFormat="1">
      <alignment horizontal="right" shrinkToFit="0" vertical="center" wrapText="1"/>
    </xf>
    <xf borderId="76" fillId="0" fontId="1" numFmtId="0" xfId="0" applyBorder="1" applyFont="1"/>
    <xf borderId="47" fillId="0" fontId="1" numFmtId="0" xfId="0" applyBorder="1" applyFont="1"/>
    <xf borderId="78" fillId="0" fontId="1" numFmtId="164" xfId="0" applyBorder="1" applyFont="1" applyNumberFormat="1"/>
    <xf borderId="6" fillId="9" fontId="10" numFmtId="3" xfId="0" applyAlignment="1" applyBorder="1" applyFill="1" applyFont="1" applyNumberFormat="1">
      <alignment horizontal="right" shrinkToFit="0" vertical="center" wrapText="1"/>
    </xf>
    <xf borderId="3" fillId="2" fontId="1" numFmtId="164" xfId="0" applyBorder="1" applyFill="1" applyFont="1" applyNumberFormat="1"/>
    <xf borderId="0" fillId="0" fontId="10" numFmtId="3" xfId="0" applyAlignment="1" applyFont="1" applyNumberFormat="1">
      <alignment horizontal="right" shrinkToFit="0" vertical="center" wrapText="1"/>
    </xf>
    <xf borderId="63" fillId="10" fontId="1" numFmtId="3" xfId="0" applyAlignment="1" applyBorder="1" applyFill="1" applyFont="1" applyNumberFormat="1">
      <alignment vertical="top"/>
    </xf>
    <xf borderId="65" fillId="0" fontId="6" numFmtId="0" xfId="0" applyAlignment="1" applyBorder="1" applyFont="1">
      <alignment horizontal="center"/>
    </xf>
    <xf borderId="65" fillId="0" fontId="1" numFmtId="0" xfId="0" applyBorder="1" applyFont="1"/>
    <xf borderId="73" fillId="0" fontId="1" numFmtId="164" xfId="0" applyBorder="1" applyFont="1" applyNumberFormat="1"/>
    <xf borderId="79" fillId="0" fontId="1" numFmtId="0" xfId="0" applyBorder="1" applyFont="1"/>
    <xf borderId="79" fillId="0" fontId="3" numFmtId="0" xfId="0" applyBorder="1" applyFont="1"/>
    <xf borderId="11" fillId="0" fontId="6" numFmtId="0" xfId="0" applyAlignment="1" applyBorder="1" applyFont="1">
      <alignment horizontal="right"/>
    </xf>
    <xf borderId="57" fillId="0" fontId="1" numFmtId="3" xfId="0" applyAlignment="1" applyBorder="1" applyFont="1" applyNumberFormat="1">
      <alignment vertical="top"/>
    </xf>
    <xf borderId="5" fillId="4" fontId="1" numFmtId="164" xfId="0" applyAlignment="1" applyBorder="1" applyFill="1" applyFont="1" applyNumberFormat="1">
      <alignment readingOrder="0"/>
    </xf>
    <xf borderId="5" fillId="5" fontId="1" numFmtId="164" xfId="0" applyBorder="1" applyFill="1" applyFont="1" applyNumberFormat="1"/>
    <xf borderId="0" fillId="2" fontId="5" numFmtId="0" xfId="0" applyAlignment="1" applyFill="1" applyFont="1">
      <alignment horizontal="left" shrinkToFit="0" vertical="center" wrapText="1"/>
    </xf>
    <xf borderId="80" fillId="2" fontId="5" numFmtId="165" xfId="0" applyAlignment="1" applyBorder="1" applyFill="1" applyFont="1" applyNumberFormat="1">
      <alignment horizontal="left" readingOrder="0" shrinkToFit="0" vertical="center" wrapText="1"/>
    </xf>
    <xf borderId="80" fillId="2" fontId="5" numFmtId="3" xfId="0" applyAlignment="1" applyBorder="1" applyFill="1" applyFont="1" applyNumberFormat="1">
      <alignment horizontal="left" shrinkToFit="0" vertical="center" wrapText="1"/>
    </xf>
    <xf borderId="80" fillId="2" fontId="5" numFmtId="0" xfId="0" applyAlignment="1" applyBorder="1" applyFill="1" applyFont="1">
      <alignment horizontal="left" shrinkToFit="0" vertical="center" wrapText="1"/>
    </xf>
    <xf borderId="1" fillId="2" fontId="5" numFmtId="0" xfId="0" applyAlignment="1" applyBorder="1" applyFill="1" applyFont="1">
      <alignment horizontal="left" shrinkToFit="0" vertical="center" wrapText="1"/>
    </xf>
    <xf borderId="47" fillId="0" fontId="8" numFmtId="0" xfId="0" applyAlignment="1" applyBorder="1" applyFont="1">
      <alignment vertical="top"/>
    </xf>
    <xf borderId="1" fillId="2" fontId="4" numFmtId="0" xfId="0" applyAlignment="1" applyBorder="1" applyFill="1" applyFont="1">
      <alignment horizontal="left" shrinkToFit="0" vertical="center" wrapText="1"/>
    </xf>
    <xf borderId="47" fillId="0" fontId="1" numFmtId="3" xfId="0" applyAlignment="1" applyBorder="1" applyFont="1" applyNumberFormat="1">
      <alignment vertical="top"/>
    </xf>
    <xf borderId="24" fillId="0" fontId="6" numFmtId="3" xfId="0" applyAlignment="1" applyBorder="1" applyFont="1" applyNumberFormat="1">
      <alignment horizontal="center" vertical="top"/>
    </xf>
    <xf borderId="15" fillId="0" fontId="6" numFmtId="3" xfId="0" applyAlignment="1" applyBorder="1" applyFont="1" applyNumberFormat="1">
      <alignment horizontal="center" vertical="top"/>
    </xf>
    <xf borderId="3" fillId="2" fontId="4" numFmtId="0" xfId="0" applyAlignment="1" applyBorder="1" applyFill="1" applyFont="1">
      <alignment vertical="center"/>
    </xf>
    <xf borderId="61" fillId="0" fontId="1" numFmtId="3" xfId="0" applyAlignment="1" applyBorder="1" applyFont="1" applyNumberFormat="1">
      <alignment vertical="top"/>
    </xf>
    <xf borderId="41" fillId="0" fontId="1" numFmtId="3" xfId="0" applyAlignment="1" applyBorder="1" applyFont="1" applyNumberFormat="1">
      <alignment vertical="top"/>
    </xf>
    <xf borderId="81" fillId="0" fontId="1" numFmtId="3" xfId="0" applyAlignment="1" applyBorder="1" applyFont="1" applyNumberFormat="1">
      <alignment vertical="top"/>
    </xf>
    <xf borderId="82" fillId="0" fontId="1" numFmtId="3" xfId="0" applyAlignment="1" applyBorder="1" applyFont="1" applyNumberFormat="1">
      <alignment vertical="top"/>
    </xf>
    <xf borderId="67" fillId="11" fontId="1" numFmtId="3" xfId="0" applyAlignment="1" applyBorder="1" applyFill="1" applyFont="1" applyNumberFormat="1">
      <alignment vertical="top"/>
    </xf>
    <xf borderId="47" fillId="11" fontId="1" numFmtId="3" xfId="0" applyAlignment="1" applyBorder="1" applyFill="1" applyFont="1" applyNumberFormat="1">
      <alignment vertical="top"/>
    </xf>
    <xf borderId="65" fillId="0" fontId="6" numFmtId="0" xfId="0" applyAlignment="1" applyBorder="1" applyFont="1">
      <alignment horizontal="center" vertical="top"/>
    </xf>
    <xf borderId="47" fillId="0" fontId="8" numFmtId="0" xfId="0" applyAlignment="1" applyBorder="1" applyFont="1">
      <alignment horizontal="left" vertical="top"/>
    </xf>
    <xf borderId="47" fillId="5" fontId="1" numFmtId="3" xfId="0" applyAlignment="1" applyBorder="1" applyFill="1" applyFont="1" applyNumberFormat="1">
      <alignment vertical="top"/>
    </xf>
    <xf borderId="83" fillId="11" fontId="1" numFmtId="3" xfId="0" applyAlignment="1" applyBorder="1" applyFill="1" applyFont="1" applyNumberFormat="1">
      <alignment vertical="top"/>
    </xf>
    <xf borderId="65" fillId="11" fontId="1" numFmtId="3" xfId="0" applyAlignment="1" applyBorder="1" applyFill="1" applyFont="1" applyNumberFormat="1">
      <alignment vertical="top"/>
    </xf>
    <xf borderId="3" fillId="2" fontId="7" numFmtId="0" xfId="0" applyAlignment="1" applyBorder="1" applyFill="1" applyFont="1">
      <alignment horizontal="center" shrinkToFit="0" vertical="top" wrapText="1"/>
    </xf>
    <xf borderId="6" fillId="2" fontId="7" numFmtId="0" xfId="0" applyAlignment="1" applyBorder="1" applyFill="1" applyFont="1">
      <alignment horizontal="right" shrinkToFit="0" vertical="top" wrapText="1"/>
    </xf>
    <xf borderId="6" fillId="2" fontId="5" numFmtId="3" xfId="0" applyAlignment="1" applyBorder="1" applyFill="1" applyFont="1" applyNumberFormat="1">
      <alignment horizontal="right" shrinkToFit="0" vertical="top" wrapText="1"/>
    </xf>
    <xf borderId="7" fillId="2" fontId="5" numFmtId="3" xfId="0" applyAlignment="1" applyBorder="1" applyFill="1" applyFont="1" applyNumberFormat="1">
      <alignment horizontal="right" shrinkToFit="0" vertical="top" wrapText="1"/>
    </xf>
    <xf borderId="5" fillId="4" fontId="5" numFmtId="3" xfId="0" applyAlignment="1" applyBorder="1" applyFill="1" applyFont="1" applyNumberFormat="1">
      <alignment horizontal="right" shrinkToFit="0" vertical="top" wrapText="1"/>
    </xf>
    <xf borderId="23" fillId="0" fontId="5" numFmtId="3" xfId="0" applyAlignment="1" applyBorder="1" applyFont="1" applyNumberFormat="1">
      <alignment horizontal="right" shrinkToFit="0" vertical="top" wrapText="1"/>
    </xf>
    <xf borderId="28" fillId="0" fontId="5" numFmtId="3" xfId="0" applyAlignment="1" applyBorder="1" applyFont="1" applyNumberFormat="1">
      <alignment horizontal="right" shrinkToFit="0" vertical="top" wrapText="1"/>
    </xf>
    <xf borderId="84" fillId="0" fontId="5" numFmtId="3" xfId="0" applyAlignment="1" applyBorder="1" applyFont="1" applyNumberFormat="1">
      <alignment horizontal="right" shrinkToFit="0" vertical="top" wrapText="1"/>
    </xf>
    <xf borderId="85" fillId="0" fontId="5" numFmtId="3" xfId="0" applyAlignment="1" applyBorder="1" applyFont="1" applyNumberFormat="1">
      <alignment horizontal="right" shrinkToFit="0" vertical="top" wrapText="1"/>
    </xf>
    <xf borderId="6" fillId="5" fontId="5" numFmtId="3" xfId="0" applyAlignment="1" applyBorder="1" applyFill="1" applyFont="1" applyNumberFormat="1">
      <alignment horizontal="right" shrinkToFit="0" vertical="top" wrapText="1"/>
    </xf>
    <xf borderId="6" fillId="10" fontId="5" numFmtId="3" xfId="0" applyAlignment="1" applyBorder="1" applyFill="1" applyFont="1" applyNumberFormat="1">
      <alignment horizontal="right" shrinkToFit="0" vertical="top" wrapText="1"/>
    </xf>
    <xf borderId="3" fillId="2" fontId="5" numFmtId="3" xfId="0" applyAlignment="1" applyBorder="1" applyFill="1" applyFont="1" applyNumberFormat="1">
      <alignment horizontal="right" shrinkToFit="0" vertical="top" wrapText="1"/>
    </xf>
    <xf borderId="86" fillId="4" fontId="6" numFmtId="0" xfId="0" applyAlignment="1" applyBorder="1" applyFill="1" applyFont="1">
      <alignment horizontal="center" vertical="top"/>
    </xf>
    <xf borderId="27" fillId="5" fontId="5" numFmtId="0" xfId="0" applyAlignment="1" applyBorder="1" applyFill="1" applyFont="1">
      <alignment horizontal="center" readingOrder="0" shrinkToFit="0" vertical="top" wrapText="1"/>
    </xf>
    <xf borderId="87" fillId="5" fontId="5" numFmtId="0" xfId="0" applyAlignment="1" applyBorder="1" applyFill="1" applyFont="1">
      <alignment horizontal="center" shrinkToFit="0" vertical="top" wrapText="1"/>
    </xf>
    <xf borderId="39" fillId="0" fontId="6" numFmtId="3" xfId="0" applyAlignment="1" applyBorder="1" applyFont="1" applyNumberFormat="1">
      <alignment horizontal="right" readingOrder="0" vertical="top"/>
    </xf>
    <xf borderId="55" fillId="0" fontId="6" numFmtId="3" xfId="0" applyAlignment="1" applyBorder="1" applyFont="1" applyNumberFormat="1">
      <alignment horizontal="right" vertical="top"/>
    </xf>
    <xf borderId="56" fillId="0" fontId="6" numFmtId="3" xfId="0" applyAlignment="1" applyBorder="1" applyFont="1" applyNumberFormat="1">
      <alignment horizontal="right" vertical="top"/>
    </xf>
    <xf borderId="54" fillId="0" fontId="6" numFmtId="3" xfId="0" applyAlignment="1" applyBorder="1" applyFont="1" applyNumberFormat="1">
      <alignment horizontal="right" vertical="top"/>
    </xf>
    <xf borderId="26" fillId="5" fontId="1" numFmtId="3" xfId="0" applyAlignment="1" applyBorder="1" applyFill="1" applyFont="1" applyNumberFormat="1">
      <alignment horizontal="right" vertical="top"/>
    </xf>
    <xf borderId="63" fillId="9" fontId="6" numFmtId="3" xfId="0" applyAlignment="1" applyBorder="1" applyFill="1" applyFont="1" applyNumberFormat="1">
      <alignment horizontal="right" vertical="top"/>
    </xf>
    <xf borderId="57" fillId="0" fontId="6" numFmtId="3" xfId="0" applyAlignment="1" applyBorder="1" applyFont="1" applyNumberFormat="1">
      <alignment horizontal="right" readingOrder="0" vertical="top"/>
    </xf>
    <xf borderId="81" fillId="0" fontId="6" numFmtId="3" xfId="0" applyAlignment="1" applyBorder="1" applyFont="1" applyNumberFormat="1">
      <alignment horizontal="right" vertical="top"/>
    </xf>
    <xf borderId="82" fillId="0" fontId="6" numFmtId="3" xfId="0" applyAlignment="1" applyBorder="1" applyFont="1" applyNumberFormat="1">
      <alignment horizontal="right" readingOrder="0" vertical="top"/>
    </xf>
    <xf borderId="41" fillId="0" fontId="6" numFmtId="3" xfId="0" applyAlignment="1" applyBorder="1" applyFont="1" applyNumberFormat="1">
      <alignment horizontal="right" readingOrder="0" vertical="top"/>
    </xf>
    <xf borderId="59" fillId="0" fontId="11" numFmtId="0" xfId="0" applyBorder="1" applyFont="1"/>
    <xf borderId="57" fillId="0" fontId="6" numFmtId="3" xfId="0" applyAlignment="1" applyBorder="1" applyFont="1" applyNumberFormat="1">
      <alignment horizontal="center" vertical="top"/>
    </xf>
    <xf borderId="41" fillId="0" fontId="6" numFmtId="3" xfId="0" applyAlignment="1" applyBorder="1" applyFont="1" applyNumberFormat="1">
      <alignment horizontal="center" readingOrder="0" vertical="top"/>
    </xf>
    <xf borderId="81" fillId="0" fontId="6" numFmtId="3" xfId="0" applyAlignment="1" applyBorder="1" applyFont="1" applyNumberFormat="1">
      <alignment horizontal="center" vertical="top"/>
    </xf>
    <xf borderId="82" fillId="0" fontId="6" numFmtId="3" xfId="0" applyAlignment="1" applyBorder="1" applyFont="1" applyNumberFormat="1">
      <alignment horizontal="center" vertical="top"/>
    </xf>
    <xf borderId="41" fillId="0" fontId="6" numFmtId="3" xfId="0" applyAlignment="1" applyBorder="1" applyFont="1" applyNumberFormat="1">
      <alignment horizontal="right" vertical="top"/>
    </xf>
    <xf borderId="41" fillId="0" fontId="1" numFmtId="3" xfId="0" applyAlignment="1" applyBorder="1" applyFont="1" applyNumberFormat="1">
      <alignment readingOrder="0" vertical="top"/>
    </xf>
    <xf borderId="63" fillId="9" fontId="1" numFmtId="3" xfId="0" applyAlignment="1" applyBorder="1" applyFill="1" applyFont="1" applyNumberFormat="1">
      <alignment vertical="top"/>
    </xf>
    <xf borderId="6" fillId="9" fontId="5" numFmtId="3" xfId="0" applyAlignment="1" applyBorder="1" applyFill="1" applyFont="1" applyNumberFormat="1">
      <alignment horizontal="right" shrinkToFit="0" vertical="top" wrapText="1"/>
    </xf>
    <xf borderId="1" fillId="2" fontId="2" numFmtId="0" xfId="0" applyBorder="1" applyFill="1" applyFont="1"/>
    <xf borderId="18" fillId="11" fontId="6" numFmtId="0" xfId="0" applyAlignment="1" applyBorder="1" applyFill="1" applyFont="1">
      <alignment horizontal="center" shrinkToFit="0" vertical="center" wrapText="1"/>
    </xf>
    <xf borderId="16" fillId="11" fontId="6" numFmtId="0" xfId="0" applyAlignment="1" applyBorder="1" applyFill="1" applyFont="1">
      <alignment horizontal="center" vertical="center"/>
    </xf>
    <xf borderId="88" fillId="13" fontId="12" numFmtId="0" xfId="0" applyAlignment="1" applyBorder="1" applyFill="1" applyFont="1">
      <alignment horizontal="center" vertical="center"/>
    </xf>
    <xf borderId="89" fillId="0" fontId="3" numFmtId="0" xfId="0" applyBorder="1" applyFont="1"/>
    <xf borderId="8" fillId="13" fontId="12" numFmtId="0" xfId="0" applyAlignment="1" applyBorder="1" applyFill="1" applyFont="1">
      <alignment horizontal="center" vertical="center"/>
    </xf>
    <xf borderId="31" fillId="11" fontId="13" numFmtId="0" xfId="0" applyAlignment="1" applyBorder="1" applyFill="1" applyFont="1">
      <alignment horizontal="center" vertical="center"/>
    </xf>
    <xf borderId="90" fillId="11" fontId="13" numFmtId="0" xfId="0" applyAlignment="1" applyBorder="1" applyFill="1" applyFont="1">
      <alignment horizontal="center" vertical="center"/>
    </xf>
    <xf borderId="28" fillId="11" fontId="13" numFmtId="0" xfId="0" applyAlignment="1" applyBorder="1" applyFill="1" applyFont="1">
      <alignment horizontal="center" vertical="center"/>
    </xf>
    <xf borderId="25" fillId="11" fontId="13" numFmtId="0" xfId="0" applyAlignment="1" applyBorder="1" applyFill="1" applyFont="1">
      <alignment horizontal="center" vertical="center"/>
    </xf>
    <xf borderId="23" fillId="11" fontId="13" numFmtId="0" xfId="0" applyAlignment="1" applyBorder="1" applyFill="1" applyFont="1">
      <alignment horizontal="center" vertical="center"/>
    </xf>
    <xf borderId="15" fillId="0" fontId="6" numFmtId="0" xfId="0" applyBorder="1" applyFont="1"/>
    <xf borderId="91" fillId="14" fontId="14" numFmtId="0" xfId="0" applyBorder="1" applyFill="1" applyFont="1"/>
    <xf borderId="92" fillId="14" fontId="14" numFmtId="0" xfId="0" applyBorder="1" applyFill="1" applyFont="1"/>
    <xf borderId="93" fillId="14" fontId="14" numFmtId="0" xfId="0" applyBorder="1" applyFill="1" applyFont="1"/>
    <xf borderId="94" fillId="14" fontId="14" numFmtId="0" xfId="0" applyBorder="1" applyFill="1" applyFont="1"/>
    <xf borderId="95" fillId="14" fontId="14" numFmtId="0" xfId="0" applyBorder="1" applyFill="1" applyFont="1"/>
    <xf borderId="96" fillId="2" fontId="14" numFmtId="0" xfId="0" applyBorder="1" applyFill="1" applyFont="1"/>
    <xf borderId="59" fillId="2" fontId="14" numFmtId="0" xfId="0" applyBorder="1" applyFill="1" applyFont="1"/>
    <xf borderId="59" fillId="15" fontId="14" numFmtId="0" xfId="0" applyBorder="1" applyFill="1" applyFont="1"/>
    <xf borderId="41" fillId="15" fontId="14" numFmtId="0" xfId="0" applyBorder="1" applyFill="1" applyFont="1"/>
    <xf borderId="96" fillId="15" fontId="14" numFmtId="0" xfId="0" applyBorder="1" applyFill="1" applyFont="1"/>
    <xf borderId="97" fillId="15" fontId="14" numFmtId="0" xfId="0" applyBorder="1" applyFill="1" applyFont="1"/>
    <xf borderId="57" fillId="15" fontId="14" numFmtId="0" xfId="0" applyBorder="1" applyFill="1" applyFont="1"/>
    <xf borderId="59" fillId="0" fontId="14" numFmtId="0" xfId="0" applyBorder="1" applyFont="1"/>
    <xf borderId="41" fillId="0" fontId="14" numFmtId="0" xfId="0" applyBorder="1" applyFont="1"/>
    <xf borderId="81" fillId="0" fontId="14" numFmtId="0" xfId="0" applyBorder="1" applyFont="1"/>
    <xf borderId="59" fillId="14" fontId="14" numFmtId="0" xfId="0" applyBorder="1" applyFill="1" applyFont="1"/>
    <xf borderId="41" fillId="14" fontId="14" numFmtId="0" xfId="0" applyBorder="1" applyFill="1" applyFont="1"/>
    <xf borderId="96" fillId="14" fontId="14" numFmtId="0" xfId="0" applyBorder="1" applyFill="1" applyFont="1"/>
    <xf borderId="97" fillId="14" fontId="14" numFmtId="0" xfId="0" applyBorder="1" applyFill="1" applyFont="1"/>
    <xf borderId="57" fillId="14" fontId="14" numFmtId="0" xfId="0" applyBorder="1" applyFill="1" applyFont="1"/>
    <xf borderId="41" fillId="2" fontId="14" numFmtId="0" xfId="0" applyBorder="1" applyFill="1" applyFont="1"/>
    <xf borderId="82" fillId="0" fontId="14" numFmtId="0" xfId="0" applyBorder="1" applyFont="1"/>
    <xf borderId="57" fillId="0" fontId="14" numFmtId="0" xfId="0" applyBorder="1" applyFont="1"/>
    <xf borderId="98" fillId="0" fontId="14" numFmtId="0" xfId="0" applyBorder="1" applyFont="1"/>
    <xf borderId="99" fillId="0" fontId="14" numFmtId="0" xfId="0" applyBorder="1" applyFont="1"/>
    <xf borderId="52" fillId="0" fontId="14" numFmtId="0" xfId="0" applyBorder="1" applyFont="1"/>
    <xf borderId="100" fillId="0" fontId="14" numFmtId="0" xfId="0" applyBorder="1" applyFont="1"/>
    <xf borderId="51" fillId="0" fontId="14" numFmtId="0" xfId="0" applyBorder="1" applyFont="1"/>
    <xf borderId="18" fillId="4" fontId="5" numFmtId="0" xfId="0" applyAlignment="1" applyBorder="1" applyFill="1" applyFont="1">
      <alignment horizontal="center" shrinkToFit="0" vertical="center" wrapText="1"/>
    </xf>
    <xf borderId="27" fillId="5" fontId="5" numFmtId="0" xfId="0" applyAlignment="1" applyBorder="1" applyFill="1" applyFont="1">
      <alignment horizontal="center" shrinkToFit="0" vertical="center" wrapText="1"/>
    </xf>
    <xf borderId="21" fillId="6" fontId="5" numFmtId="0" xfId="0" applyAlignment="1" applyBorder="1" applyFill="1" applyFont="1">
      <alignment horizontal="center" shrinkToFit="0" vertical="center" wrapText="1"/>
    </xf>
    <xf borderId="101" fillId="0" fontId="3" numFmtId="0" xfId="0" applyBorder="1" applyFont="1"/>
    <xf borderId="102" fillId="0" fontId="3" numFmtId="0" xfId="0" applyBorder="1" applyFont="1"/>
    <xf borderId="51" fillId="5" fontId="5" numFmtId="0" xfId="0" applyAlignment="1" applyBorder="1" applyFill="1" applyFont="1">
      <alignment horizontal="center" shrinkToFit="0" vertical="center" wrapText="1"/>
    </xf>
    <xf borderId="52" fillId="5" fontId="5" numFmtId="0" xfId="0" applyAlignment="1" applyBorder="1" applyFill="1" applyFont="1">
      <alignment horizontal="center" shrinkToFit="0" vertical="center" wrapText="1"/>
    </xf>
    <xf borderId="103" fillId="0" fontId="3" numFmtId="0" xfId="0" applyBorder="1" applyFont="1"/>
    <xf borderId="11" fillId="3" fontId="5" numFmtId="0" xfId="0" applyAlignment="1" applyBorder="1" applyFill="1" applyFont="1">
      <alignment horizontal="left" shrinkToFit="0" vertical="center" wrapText="1"/>
    </xf>
    <xf borderId="15" fillId="0" fontId="1" numFmtId="164" xfId="0" applyBorder="1" applyFont="1" applyNumberFormat="1"/>
    <xf borderId="61" fillId="0" fontId="1" numFmtId="164" xfId="0" applyBorder="1" applyFont="1" applyNumberFormat="1"/>
    <xf borderId="47" fillId="0" fontId="1" numFmtId="164" xfId="0" applyBorder="1" applyFont="1" applyNumberFormat="1"/>
    <xf borderId="76" fillId="0" fontId="1" numFmtId="164" xfId="0" applyBorder="1" applyFont="1" applyNumberFormat="1"/>
    <xf borderId="12" fillId="0" fontId="1" numFmtId="0" xfId="0" applyBorder="1" applyFont="1"/>
    <xf borderId="11" fillId="0" fontId="1" numFmtId="164" xfId="0" applyBorder="1" applyFont="1" applyNumberFormat="1"/>
    <xf borderId="6" fillId="0" fontId="1" numFmtId="164" xfId="0" applyBorder="1" applyFont="1" applyNumberFormat="1"/>
    <xf borderId="104" fillId="9" fontId="5" numFmtId="164" xfId="0" applyAlignment="1" applyBorder="1" applyFill="1" applyFont="1" applyNumberFormat="1">
      <alignment horizontal="center" shrinkToFit="0" vertical="center" wrapText="1"/>
    </xf>
    <xf borderId="0" fillId="0" fontId="1" numFmtId="3" xfId="0" applyFont="1" applyNumberFormat="1"/>
    <xf borderId="0" fillId="0" fontId="1" numFmtId="164" xfId="0" applyFont="1" applyNumberFormat="1"/>
    <xf borderId="36" fillId="0" fontId="1" numFmtId="0" xfId="0" applyBorder="1" applyFont="1"/>
    <xf borderId="36" fillId="0" fontId="1" numFmtId="164" xfId="0" applyBorder="1" applyFont="1" applyNumberFormat="1"/>
    <xf borderId="36" fillId="9" fontId="5" numFmtId="164" xfId="0" applyAlignment="1" applyBorder="1" applyFill="1" applyFont="1" applyNumberFormat="1">
      <alignment horizontal="center" shrinkToFit="0" vertical="center" wrapText="1"/>
    </xf>
    <xf borderId="65" fillId="0" fontId="1" numFmtId="164" xfId="0" applyBorder="1" applyFont="1" applyNumberFormat="1"/>
    <xf borderId="8" fillId="3" fontId="5" numFmtId="0" xfId="0" applyAlignment="1" applyBorder="1" applyFill="1" applyFont="1">
      <alignment horizontal="left" shrinkToFit="0" vertical="center" wrapText="1"/>
    </xf>
    <xf borderId="27" fillId="0" fontId="1" numFmtId="9" xfId="0" applyAlignment="1" applyBorder="1" applyFont="1" applyNumberFormat="1">
      <alignment horizontal="left"/>
    </xf>
    <xf borderId="27" fillId="0" fontId="1" numFmtId="164" xfId="0" applyBorder="1" applyFont="1" applyNumberFormat="1"/>
    <xf borderId="105" fillId="0" fontId="1" numFmtId="164" xfId="0" applyBorder="1" applyFont="1" applyNumberFormat="1"/>
    <xf borderId="40" fillId="0" fontId="1" numFmtId="9" xfId="0" applyAlignment="1" applyBorder="1" applyFont="1" applyNumberFormat="1">
      <alignment horizontal="left"/>
    </xf>
    <xf borderId="40" fillId="0" fontId="1" numFmtId="164" xfId="0" applyBorder="1" applyFont="1" applyNumberFormat="1"/>
    <xf borderId="66" fillId="0" fontId="1" numFmtId="9" xfId="0" applyAlignment="1" applyBorder="1" applyFont="1" applyNumberFormat="1">
      <alignment horizontal="left"/>
    </xf>
    <xf borderId="66" fillId="0" fontId="1" numFmtId="164" xfId="0" applyBorder="1" applyFont="1" applyNumberFormat="1"/>
  </cellXfs>
  <cellStyles count="1">
    <cellStyle xfId="0" name="Normal" builtinId="0"/>
  </cellStyles>
  <dxfs count="3">
    <dxf>
      <font>
        <b/>
        <color rgb="FFFF0000"/>
      </font>
      <fill>
        <patternFill patternType="none"/>
      </fill>
      <border/>
    </dxf>
    <dxf>
      <font>
        <b/>
        <color rgb="FFC00000"/>
      </font>
      <fill>
        <patternFill patternType="solid">
          <fgColor rgb="FFFFC7CE"/>
          <bgColor rgb="FFFFC7CE"/>
        </patternFill>
      </fill>
      <border/>
    </dxf>
    <dxf>
      <font>
        <color rgb="FF0070C0"/>
      </font>
      <fill>
        <patternFill patternType="solid">
          <fgColor rgb="FF0070C0"/>
          <bgColor rgb="FF0070C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99"/>
    <pageSetUpPr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11.43"/>
    <col customWidth="1" min="3" max="3" width="48.71"/>
    <col customWidth="1" min="4" max="4" width="15.71"/>
    <col customWidth="1" min="5" max="5" width="12.86"/>
    <col customWidth="1" min="6" max="6" width="11.43"/>
    <col customWidth="1" min="7" max="7" width="13.86"/>
    <col customWidth="1" min="8" max="8" width="14.29"/>
    <col customWidth="1" min="9" max="9" width="12.71"/>
    <col customWidth="1" min="10" max="10" width="15.71"/>
    <col customWidth="1" min="11" max="11" width="13.57"/>
    <col customWidth="1" min="12" max="12" width="12.29"/>
    <col customWidth="1" min="13" max="13" width="11.29"/>
    <col customWidth="1" min="14" max="16" width="11.43"/>
    <col customWidth="1" min="17" max="17" width="15.29"/>
    <col customWidth="1" min="18" max="18" width="24.71"/>
    <col customWidth="1" min="19" max="20" width="11.43"/>
    <col customWidth="1" min="21" max="21" width="15.71"/>
    <col customWidth="1" min="22" max="27" width="11.43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5"/>
      <c r="U1" s="4"/>
      <c r="V1" s="4"/>
      <c r="W1" s="4"/>
      <c r="X1" s="4"/>
      <c r="Y1" s="4"/>
      <c r="Z1" s="4"/>
      <c r="AA1" s="4"/>
    </row>
    <row r="2" ht="14.25" customHeight="1">
      <c r="A2" s="1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4.25" customHeight="1">
      <c r="A3" s="1"/>
      <c r="B3" s="8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5"/>
      <c r="U3" s="4"/>
      <c r="V3" s="4"/>
      <c r="W3" s="4"/>
      <c r="X3" s="4"/>
      <c r="Y3" s="4"/>
      <c r="Z3" s="4"/>
      <c r="AA3" s="4"/>
    </row>
    <row r="4" ht="15.0" customHeight="1">
      <c r="A4" s="1"/>
      <c r="B4" s="13"/>
      <c r="C4" s="13"/>
      <c r="D4" s="17" t="s">
        <v>9</v>
      </c>
      <c r="E4" s="19"/>
      <c r="F4" s="19"/>
      <c r="G4" s="19"/>
      <c r="H4" s="21"/>
      <c r="I4" s="25" t="s">
        <v>15</v>
      </c>
      <c r="J4" s="19"/>
      <c r="K4" s="19"/>
      <c r="L4" s="19"/>
      <c r="M4" s="19"/>
      <c r="N4" s="19"/>
      <c r="O4" s="19"/>
      <c r="P4" s="19"/>
      <c r="Q4" s="21"/>
      <c r="R4" s="29" t="s">
        <v>18</v>
      </c>
      <c r="S4" s="33" t="s">
        <v>21</v>
      </c>
      <c r="T4" s="35" t="s">
        <v>25</v>
      </c>
      <c r="U4" s="4"/>
      <c r="V4" s="4"/>
      <c r="W4" s="4"/>
      <c r="X4" s="4"/>
      <c r="Y4" s="4"/>
      <c r="Z4" s="4"/>
      <c r="AA4" s="4"/>
    </row>
    <row r="5" ht="15.75" customHeight="1">
      <c r="A5" s="1"/>
      <c r="B5" s="39" t="s">
        <v>27</v>
      </c>
      <c r="C5" s="41" t="s">
        <v>31</v>
      </c>
      <c r="D5" s="44" t="s">
        <v>20</v>
      </c>
      <c r="E5" s="46" t="s">
        <v>35</v>
      </c>
      <c r="F5" s="44" t="s">
        <v>37</v>
      </c>
      <c r="G5" s="46" t="s">
        <v>40</v>
      </c>
      <c r="H5" s="51" t="s">
        <v>41</v>
      </c>
      <c r="I5" s="54" t="s">
        <v>20</v>
      </c>
      <c r="J5" s="57"/>
      <c r="K5" s="60" t="s">
        <v>43</v>
      </c>
      <c r="L5" s="68"/>
      <c r="M5" s="54" t="s">
        <v>50</v>
      </c>
      <c r="N5" s="57"/>
      <c r="O5" s="60" t="s">
        <v>40</v>
      </c>
      <c r="P5" s="68"/>
      <c r="Q5" s="77" t="s">
        <v>52</v>
      </c>
      <c r="R5" s="79"/>
      <c r="S5" s="82"/>
      <c r="T5" s="79"/>
      <c r="U5" s="4"/>
      <c r="V5" s="4"/>
      <c r="W5" s="4"/>
      <c r="X5" s="4"/>
      <c r="Y5" s="4"/>
      <c r="Z5" s="4"/>
      <c r="AA5" s="4"/>
    </row>
    <row r="6" ht="14.25" customHeight="1">
      <c r="A6" s="1"/>
      <c r="B6" s="86"/>
      <c r="C6" s="56"/>
      <c r="D6" s="56"/>
      <c r="E6" s="87"/>
      <c r="F6" s="56"/>
      <c r="G6" s="87"/>
      <c r="H6" s="86"/>
      <c r="I6" s="90" t="s">
        <v>58</v>
      </c>
      <c r="J6" s="93" t="s">
        <v>42</v>
      </c>
      <c r="K6" s="96" t="s">
        <v>58</v>
      </c>
      <c r="L6" s="93" t="s">
        <v>42</v>
      </c>
      <c r="M6" s="90" t="s">
        <v>58</v>
      </c>
      <c r="N6" s="93" t="s">
        <v>42</v>
      </c>
      <c r="O6" s="96" t="s">
        <v>58</v>
      </c>
      <c r="P6" s="93" t="s">
        <v>42</v>
      </c>
      <c r="Q6" s="56"/>
      <c r="R6" s="56"/>
      <c r="S6" s="86"/>
      <c r="T6" s="56"/>
      <c r="U6" s="4"/>
      <c r="V6" s="4"/>
      <c r="W6" s="4"/>
      <c r="X6" s="4"/>
      <c r="Y6" s="4"/>
      <c r="Z6" s="4"/>
      <c r="AA6" s="4"/>
    </row>
    <row r="7" ht="14.25" customHeight="1">
      <c r="A7" s="1"/>
      <c r="B7" s="103" t="s">
        <v>66</v>
      </c>
      <c r="C7" s="104" t="s">
        <v>67</v>
      </c>
      <c r="D7" s="106">
        <v>5.5E8</v>
      </c>
      <c r="E7" s="107">
        <v>2.0E8</v>
      </c>
      <c r="F7" s="108">
        <v>1.5E7</v>
      </c>
      <c r="G7" s="107">
        <v>1.32E8</v>
      </c>
      <c r="H7" s="114">
        <f t="shared" ref="H7:H17" si="1">SUM(D7:G7)</f>
        <v>897000000</v>
      </c>
      <c r="I7" s="118">
        <f>'Aporte Participantes Programa'!E7</f>
        <v>600000000</v>
      </c>
      <c r="J7" s="119">
        <f>'Aporte Participantes Programa'!F7</f>
        <v>100000000</v>
      </c>
      <c r="K7" s="120">
        <f>'Aporte Participantes Programa'!G7</f>
        <v>200000000</v>
      </c>
      <c r="L7" s="121">
        <f>'Aporte Participantes Programa'!H7</f>
        <v>50000000</v>
      </c>
      <c r="M7" s="123">
        <f>'Aporte Participantes Programa'!I7</f>
        <v>40000000</v>
      </c>
      <c r="N7" s="125"/>
      <c r="O7" s="127">
        <f>'Aporte Participantes Programa'!K7</f>
        <v>5000000</v>
      </c>
      <c r="P7" s="128"/>
      <c r="Q7" s="129">
        <f t="shared" ref="Q7:Q16" si="2">SUM(I7:P7)</f>
        <v>995000000</v>
      </c>
      <c r="R7" s="130">
        <f t="shared" ref="R7:R17" si="3">+H7+Q7</f>
        <v>1892000000</v>
      </c>
      <c r="S7" s="131">
        <v>1.0</v>
      </c>
      <c r="T7" s="133">
        <v>60.0</v>
      </c>
      <c r="U7" s="134"/>
      <c r="V7" s="134"/>
      <c r="W7" s="134"/>
      <c r="X7" s="134"/>
      <c r="Y7" s="4"/>
      <c r="Z7" s="134"/>
      <c r="AA7" s="134"/>
    </row>
    <row r="8" ht="14.25" customHeight="1">
      <c r="A8" s="1"/>
      <c r="B8" s="135" t="s">
        <v>63</v>
      </c>
      <c r="C8" s="136" t="s">
        <v>98</v>
      </c>
      <c r="D8" s="106">
        <v>4.0E8</v>
      </c>
      <c r="E8" s="107">
        <v>7.5E7</v>
      </c>
      <c r="F8" s="108">
        <v>1.5E7</v>
      </c>
      <c r="G8" s="137">
        <v>4.0E7</v>
      </c>
      <c r="H8" s="140">
        <f t="shared" si="1"/>
        <v>530000000</v>
      </c>
      <c r="I8" s="146">
        <f>'Aporte Participantes Programa'!E9</f>
        <v>40000000</v>
      </c>
      <c r="J8" s="146">
        <f>'Aporte Participantes Programa'!F8+'Aporte Participantes Programa'!F9+'Aporte Participantes Programa'!F14</f>
        <v>226000000</v>
      </c>
      <c r="K8" s="146">
        <f>'Aporte Participantes Programa'!G9</f>
        <v>10000000</v>
      </c>
      <c r="L8" s="146">
        <f>'Aporte Participantes Programa'!H9+'Aporte Participantes Programa'!H8</f>
        <v>100000000</v>
      </c>
      <c r="M8" s="146" t="str">
        <f>'Aporte Participantes Programa'!I9</f>
        <v/>
      </c>
      <c r="N8" s="146" t="str">
        <f>'Aporte Participantes Programa'!J9</f>
        <v/>
      </c>
      <c r="O8" s="146" t="str">
        <f>'Aporte Participantes Programa'!K9</f>
        <v/>
      </c>
      <c r="P8" s="146" t="str">
        <f>'Aporte Participantes Programa'!L9</f>
        <v/>
      </c>
      <c r="Q8" s="129">
        <f t="shared" si="2"/>
        <v>376000000</v>
      </c>
      <c r="R8" s="130">
        <f t="shared" si="3"/>
        <v>906000000</v>
      </c>
      <c r="S8" s="155">
        <v>4.0</v>
      </c>
      <c r="T8" s="156">
        <v>53.0</v>
      </c>
      <c r="U8" s="134"/>
      <c r="V8" s="134"/>
      <c r="W8" s="134"/>
      <c r="X8" s="134"/>
      <c r="Y8" s="4"/>
      <c r="Z8" s="134"/>
      <c r="AA8" s="134"/>
    </row>
    <row r="9" ht="14.25" customHeight="1">
      <c r="A9" s="1"/>
      <c r="B9" s="135" t="s">
        <v>78</v>
      </c>
      <c r="C9" s="136" t="s">
        <v>107</v>
      </c>
      <c r="D9" s="106">
        <v>4.0E8</v>
      </c>
      <c r="E9" s="107">
        <v>7.5E7</v>
      </c>
      <c r="F9" s="108">
        <v>1.5E7</v>
      </c>
      <c r="G9" s="137">
        <v>4.0E7</v>
      </c>
      <c r="H9" s="162">
        <f t="shared" si="1"/>
        <v>530000000</v>
      </c>
      <c r="I9" s="165">
        <f>'Aporte Participantes Programa'!E10</f>
        <v>40000000</v>
      </c>
      <c r="J9" s="165">
        <f>'Aporte Participantes Programa'!F9+'Aporte Participantes Programa'!F13</f>
        <v>129000000</v>
      </c>
      <c r="K9" s="165">
        <f>'Aporte Participantes Programa'!G10</f>
        <v>10000000</v>
      </c>
      <c r="L9" s="165">
        <f>'Aporte Participantes Programa'!H10</f>
        <v>50000000</v>
      </c>
      <c r="M9" s="165" t="str">
        <f>'Aporte Participantes Programa'!I10</f>
        <v/>
      </c>
      <c r="N9" s="165" t="str">
        <f>'Aporte Participantes Programa'!J10</f>
        <v/>
      </c>
      <c r="O9" s="165" t="str">
        <f>'Aporte Participantes Programa'!K10</f>
        <v/>
      </c>
      <c r="P9" s="165" t="str">
        <f>'Aporte Participantes Programa'!L10</f>
        <v/>
      </c>
      <c r="Q9" s="129">
        <f t="shared" si="2"/>
        <v>229000000</v>
      </c>
      <c r="R9" s="176">
        <f t="shared" si="3"/>
        <v>759000000</v>
      </c>
      <c r="S9" s="155">
        <v>4.0</v>
      </c>
      <c r="T9" s="156">
        <v>53.0</v>
      </c>
      <c r="U9" s="134"/>
      <c r="V9" s="134"/>
      <c r="W9" s="134"/>
      <c r="X9" s="134"/>
      <c r="Y9" s="4"/>
      <c r="Z9" s="134"/>
      <c r="AA9" s="134"/>
    </row>
    <row r="10" ht="14.25" customHeight="1">
      <c r="A10" s="1"/>
      <c r="B10" s="135" t="s">
        <v>86</v>
      </c>
      <c r="C10" s="136" t="s">
        <v>114</v>
      </c>
      <c r="D10" s="106">
        <v>4.0E8</v>
      </c>
      <c r="E10" s="107">
        <v>7.5E7</v>
      </c>
      <c r="F10" s="108">
        <v>1.5E7</v>
      </c>
      <c r="G10" s="137">
        <v>3.8E7</v>
      </c>
      <c r="H10" s="162">
        <f t="shared" si="1"/>
        <v>528000000</v>
      </c>
      <c r="I10" s="183">
        <f>'Aporte Participantes Programa'!E11</f>
        <v>40000000</v>
      </c>
      <c r="J10" s="183">
        <f>'Aporte Participantes Programa'!F11</f>
        <v>100000000</v>
      </c>
      <c r="K10" s="183">
        <f>'Aporte Participantes Programa'!G11</f>
        <v>10000000</v>
      </c>
      <c r="L10" s="183">
        <f>'Aporte Participantes Programa'!H11</f>
        <v>50000000</v>
      </c>
      <c r="M10" s="183" t="str">
        <f>'Aporte Participantes Programa'!I11</f>
        <v/>
      </c>
      <c r="N10" s="183" t="str">
        <f>'Aporte Participantes Programa'!J11</f>
        <v/>
      </c>
      <c r="O10" s="183" t="str">
        <f>'Aporte Participantes Programa'!K11</f>
        <v/>
      </c>
      <c r="P10" s="183" t="str">
        <f>'Aporte Participantes Programa'!L11</f>
        <v/>
      </c>
      <c r="Q10" s="129">
        <f t="shared" si="2"/>
        <v>200000000</v>
      </c>
      <c r="R10" s="176">
        <f t="shared" si="3"/>
        <v>728000000</v>
      </c>
      <c r="S10" s="155">
        <v>4.0</v>
      </c>
      <c r="T10" s="156">
        <v>53.0</v>
      </c>
      <c r="U10" s="134"/>
      <c r="V10" s="134"/>
      <c r="W10" s="134"/>
      <c r="X10" s="134"/>
      <c r="Y10" s="4"/>
      <c r="Z10" s="134"/>
      <c r="AA10" s="134"/>
    </row>
    <row r="11" ht="14.25" customHeight="1">
      <c r="A11" s="1"/>
      <c r="B11" s="135" t="s">
        <v>90</v>
      </c>
      <c r="C11" s="136" t="s">
        <v>115</v>
      </c>
      <c r="D11" s="106">
        <v>3.75E8</v>
      </c>
      <c r="E11" s="107">
        <v>7.5E7</v>
      </c>
      <c r="F11" s="108">
        <v>1.5E7</v>
      </c>
      <c r="G11" s="137">
        <v>5.0E7</v>
      </c>
      <c r="H11" s="162">
        <f t="shared" si="1"/>
        <v>515000000</v>
      </c>
      <c r="I11" s="183">
        <f>'Aporte Participantes Programa'!E12</f>
        <v>40000000</v>
      </c>
      <c r="J11" s="183">
        <f>'Aporte Participantes Programa'!F12</f>
        <v>100000000</v>
      </c>
      <c r="K11" s="183">
        <f>'Aporte Participantes Programa'!G12</f>
        <v>10000000</v>
      </c>
      <c r="L11" s="183">
        <f>'Aporte Participantes Programa'!H12</f>
        <v>50000000</v>
      </c>
      <c r="M11" s="183" t="str">
        <f>'Aporte Participantes Programa'!I12</f>
        <v/>
      </c>
      <c r="N11" s="183" t="str">
        <f>'Aporte Participantes Programa'!J12</f>
        <v/>
      </c>
      <c r="O11" s="183" t="str">
        <f>'Aporte Participantes Programa'!K12</f>
        <v/>
      </c>
      <c r="P11" s="183" t="str">
        <f>'Aporte Participantes Programa'!L12</f>
        <v/>
      </c>
      <c r="Q11" s="129">
        <f t="shared" si="2"/>
        <v>200000000</v>
      </c>
      <c r="R11" s="176">
        <f t="shared" si="3"/>
        <v>715000000</v>
      </c>
      <c r="S11" s="155">
        <v>4.0</v>
      </c>
      <c r="T11" s="156">
        <v>53.0</v>
      </c>
      <c r="U11" s="134"/>
      <c r="V11" s="134"/>
      <c r="W11" s="134"/>
      <c r="X11" s="134"/>
      <c r="Y11" s="4"/>
      <c r="Z11" s="134"/>
      <c r="AA11" s="134"/>
    </row>
    <row r="12" ht="14.25" customHeight="1">
      <c r="A12" s="1"/>
      <c r="B12" s="135"/>
      <c r="C12" s="191"/>
      <c r="D12" s="193"/>
      <c r="E12" s="194"/>
      <c r="F12" s="195"/>
      <c r="G12" s="197"/>
      <c r="H12" s="162">
        <f t="shared" si="1"/>
        <v>0</v>
      </c>
      <c r="I12" s="183"/>
      <c r="J12" s="198"/>
      <c r="K12" s="199"/>
      <c r="L12" s="200"/>
      <c r="M12" s="183"/>
      <c r="N12" s="198"/>
      <c r="O12" s="199"/>
      <c r="P12" s="200"/>
      <c r="Q12" s="129">
        <f t="shared" si="2"/>
        <v>0</v>
      </c>
      <c r="R12" s="176">
        <f t="shared" si="3"/>
        <v>0</v>
      </c>
      <c r="S12" s="201"/>
      <c r="T12" s="202"/>
      <c r="U12" s="4"/>
      <c r="V12" s="4"/>
      <c r="W12" s="4"/>
      <c r="X12" s="4"/>
      <c r="Y12" s="4"/>
      <c r="Z12" s="4"/>
      <c r="AA12" s="4"/>
    </row>
    <row r="13" ht="14.25" customHeight="1">
      <c r="A13" s="1"/>
      <c r="B13" s="135"/>
      <c r="C13" s="191"/>
      <c r="D13" s="193"/>
      <c r="E13" s="194"/>
      <c r="F13" s="195"/>
      <c r="G13" s="197"/>
      <c r="H13" s="162">
        <f t="shared" si="1"/>
        <v>0</v>
      </c>
      <c r="I13" s="183"/>
      <c r="J13" s="198"/>
      <c r="K13" s="199"/>
      <c r="L13" s="200"/>
      <c r="M13" s="183"/>
      <c r="N13" s="198"/>
      <c r="O13" s="199"/>
      <c r="P13" s="200"/>
      <c r="Q13" s="129">
        <f t="shared" si="2"/>
        <v>0</v>
      </c>
      <c r="R13" s="176">
        <f t="shared" si="3"/>
        <v>0</v>
      </c>
      <c r="S13" s="201"/>
      <c r="T13" s="202"/>
      <c r="U13" s="4"/>
      <c r="V13" s="4"/>
      <c r="W13" s="4"/>
      <c r="X13" s="4"/>
      <c r="Y13" s="4"/>
      <c r="Z13" s="4"/>
      <c r="AA13" s="4"/>
    </row>
    <row r="14" ht="14.25" customHeight="1">
      <c r="A14" s="1"/>
      <c r="B14" s="135"/>
      <c r="C14" s="191"/>
      <c r="D14" s="193"/>
      <c r="E14" s="194"/>
      <c r="F14" s="195"/>
      <c r="G14" s="197"/>
      <c r="H14" s="162">
        <f t="shared" si="1"/>
        <v>0</v>
      </c>
      <c r="I14" s="183"/>
      <c r="J14" s="198"/>
      <c r="K14" s="199"/>
      <c r="L14" s="200"/>
      <c r="M14" s="183"/>
      <c r="N14" s="198"/>
      <c r="O14" s="199"/>
      <c r="P14" s="200"/>
      <c r="Q14" s="129">
        <f t="shared" si="2"/>
        <v>0</v>
      </c>
      <c r="R14" s="176">
        <f t="shared" si="3"/>
        <v>0</v>
      </c>
      <c r="S14" s="201"/>
      <c r="T14" s="202"/>
      <c r="U14" s="4"/>
      <c r="V14" s="4"/>
      <c r="W14" s="4"/>
      <c r="X14" s="4"/>
      <c r="Y14" s="4"/>
      <c r="Z14" s="4"/>
      <c r="AA14" s="4"/>
    </row>
    <row r="15" ht="14.25" customHeight="1">
      <c r="A15" s="1"/>
      <c r="B15" s="135"/>
      <c r="C15" s="191"/>
      <c r="D15" s="193"/>
      <c r="E15" s="194"/>
      <c r="F15" s="195"/>
      <c r="G15" s="197"/>
      <c r="H15" s="162">
        <f t="shared" si="1"/>
        <v>0</v>
      </c>
      <c r="I15" s="183"/>
      <c r="J15" s="198"/>
      <c r="K15" s="199"/>
      <c r="L15" s="200"/>
      <c r="M15" s="183"/>
      <c r="N15" s="198"/>
      <c r="O15" s="199"/>
      <c r="P15" s="200"/>
      <c r="Q15" s="129">
        <f t="shared" si="2"/>
        <v>0</v>
      </c>
      <c r="R15" s="176">
        <f t="shared" si="3"/>
        <v>0</v>
      </c>
      <c r="S15" s="201"/>
      <c r="T15" s="202"/>
      <c r="U15" s="4"/>
      <c r="V15" s="4"/>
      <c r="W15" s="4"/>
      <c r="X15" s="4"/>
      <c r="Y15" s="4"/>
      <c r="Z15" s="4"/>
      <c r="AA15" s="4"/>
    </row>
    <row r="16" ht="14.25" customHeight="1">
      <c r="A16" s="1"/>
      <c r="B16" s="135"/>
      <c r="C16" s="191"/>
      <c r="D16" s="193"/>
      <c r="E16" s="194"/>
      <c r="F16" s="195"/>
      <c r="G16" s="197"/>
      <c r="H16" s="162">
        <f t="shared" si="1"/>
        <v>0</v>
      </c>
      <c r="I16" s="183"/>
      <c r="J16" s="198"/>
      <c r="K16" s="199"/>
      <c r="L16" s="200"/>
      <c r="M16" s="183"/>
      <c r="N16" s="198"/>
      <c r="O16" s="199"/>
      <c r="P16" s="200"/>
      <c r="Q16" s="129">
        <f t="shared" si="2"/>
        <v>0</v>
      </c>
      <c r="R16" s="176">
        <f t="shared" si="3"/>
        <v>0</v>
      </c>
      <c r="S16" s="201"/>
      <c r="T16" s="202"/>
      <c r="U16" s="4"/>
      <c r="V16" s="4"/>
      <c r="W16" s="4"/>
      <c r="X16" s="4"/>
      <c r="Y16" s="4"/>
      <c r="Z16" s="4"/>
      <c r="AA16" s="4"/>
    </row>
    <row r="17" ht="15.0" customHeight="1">
      <c r="A17" s="1"/>
      <c r="B17" s="203"/>
      <c r="C17" s="204"/>
      <c r="D17" s="193"/>
      <c r="E17" s="194"/>
      <c r="F17" s="195"/>
      <c r="G17" s="197"/>
      <c r="H17" s="162">
        <f t="shared" si="1"/>
        <v>0</v>
      </c>
      <c r="I17" s="183"/>
      <c r="J17" s="198"/>
      <c r="K17" s="199"/>
      <c r="L17" s="200"/>
      <c r="M17" s="183"/>
      <c r="N17" s="198"/>
      <c r="O17" s="199"/>
      <c r="P17" s="200"/>
      <c r="Q17" s="205">
        <f>+M17+N17</f>
        <v>0</v>
      </c>
      <c r="R17" s="176">
        <f t="shared" si="3"/>
        <v>0</v>
      </c>
      <c r="S17" s="206"/>
      <c r="T17" s="207"/>
      <c r="U17" s="4"/>
      <c r="V17" s="4"/>
      <c r="W17" s="4"/>
      <c r="X17" s="4"/>
      <c r="Y17" s="4"/>
      <c r="Z17" s="4"/>
      <c r="AA17" s="4"/>
    </row>
    <row r="18" ht="14.25" customHeight="1">
      <c r="A18" s="1"/>
      <c r="B18" s="208"/>
      <c r="C18" s="209" t="s">
        <v>120</v>
      </c>
      <c r="D18" s="210">
        <f t="shared" ref="D18:R18" si="4">SUM(D7:D17)</f>
        <v>2125000000</v>
      </c>
      <c r="E18" s="211">
        <f t="shared" si="4"/>
        <v>500000000</v>
      </c>
      <c r="F18" s="210">
        <f t="shared" si="4"/>
        <v>75000000</v>
      </c>
      <c r="G18" s="211">
        <f t="shared" si="4"/>
        <v>300000000</v>
      </c>
      <c r="H18" s="212">
        <f t="shared" si="4"/>
        <v>3000000000</v>
      </c>
      <c r="I18" s="213">
        <f t="shared" si="4"/>
        <v>760000000</v>
      </c>
      <c r="J18" s="214">
        <f t="shared" si="4"/>
        <v>655000000</v>
      </c>
      <c r="K18" s="215">
        <f t="shared" si="4"/>
        <v>240000000</v>
      </c>
      <c r="L18" s="216">
        <f t="shared" si="4"/>
        <v>300000000</v>
      </c>
      <c r="M18" s="213">
        <f t="shared" si="4"/>
        <v>40000000</v>
      </c>
      <c r="N18" s="214">
        <f t="shared" si="4"/>
        <v>0</v>
      </c>
      <c r="O18" s="215">
        <f t="shared" si="4"/>
        <v>5000000</v>
      </c>
      <c r="P18" s="216">
        <f t="shared" si="4"/>
        <v>0</v>
      </c>
      <c r="Q18" s="217">
        <f t="shared" si="4"/>
        <v>2000000000</v>
      </c>
      <c r="R18" s="218">
        <f t="shared" si="4"/>
        <v>5000000000</v>
      </c>
      <c r="S18" s="219"/>
      <c r="T18" s="219"/>
      <c r="U18" s="4"/>
      <c r="V18" s="4"/>
      <c r="W18" s="4"/>
      <c r="X18" s="4"/>
      <c r="Y18" s="4"/>
      <c r="Z18" s="4"/>
      <c r="AA18" s="4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4.25" customHeight="1">
      <c r="A20" s="4"/>
      <c r="B20" s="4"/>
      <c r="C20" s="4"/>
      <c r="D20" s="4"/>
      <c r="E20" s="4"/>
      <c r="F20" s="4"/>
      <c r="G20" s="4"/>
      <c r="H20" s="4"/>
      <c r="I20" s="4"/>
      <c r="J20" s="134"/>
      <c r="K20" s="4"/>
      <c r="L20" s="13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134"/>
      <c r="K21" s="134"/>
      <c r="L21" s="13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134"/>
      <c r="K22" s="134"/>
      <c r="L22" s="13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134"/>
      <c r="J23" s="134"/>
      <c r="K23" s="134"/>
      <c r="L23" s="13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134"/>
      <c r="J25" s="134"/>
      <c r="K25" s="134"/>
      <c r="L25" s="13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134"/>
      <c r="K27" s="13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4"/>
      <c r="V47" s="4"/>
      <c r="W47" s="4"/>
      <c r="X47" s="4"/>
      <c r="Y47" s="4"/>
      <c r="Z47" s="4"/>
      <c r="AA47" s="4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4"/>
      <c r="V48" s="4"/>
      <c r="W48" s="4"/>
      <c r="X48" s="4"/>
      <c r="Y48" s="4"/>
      <c r="Z48" s="4"/>
      <c r="AA48" s="4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4"/>
      <c r="V49" s="4"/>
      <c r="W49" s="4"/>
      <c r="X49" s="4"/>
      <c r="Y49" s="4"/>
      <c r="Z49" s="4"/>
      <c r="AA49" s="4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4"/>
      <c r="V50" s="4"/>
      <c r="W50" s="4"/>
      <c r="X50" s="4"/>
      <c r="Y50" s="4"/>
      <c r="Z50" s="4"/>
      <c r="AA50" s="4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4"/>
      <c r="V51" s="4"/>
      <c r="W51" s="4"/>
      <c r="X51" s="4"/>
      <c r="Y51" s="4"/>
      <c r="Z51" s="4"/>
      <c r="AA51" s="4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4"/>
      <c r="V52" s="4"/>
      <c r="W52" s="4"/>
      <c r="X52" s="4"/>
      <c r="Y52" s="4"/>
      <c r="Z52" s="4"/>
      <c r="AA52" s="4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4"/>
      <c r="V53" s="4"/>
      <c r="W53" s="4"/>
      <c r="X53" s="4"/>
      <c r="Y53" s="4"/>
      <c r="Z53" s="4"/>
      <c r="AA53" s="4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4"/>
      <c r="V54" s="4"/>
      <c r="W54" s="4"/>
      <c r="X54" s="4"/>
      <c r="Y54" s="4"/>
      <c r="Z54" s="4"/>
      <c r="AA54" s="4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4"/>
      <c r="V55" s="4"/>
      <c r="W55" s="4"/>
      <c r="X55" s="4"/>
      <c r="Y55" s="4"/>
      <c r="Z55" s="4"/>
      <c r="AA55" s="4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4"/>
      <c r="V56" s="4"/>
      <c r="W56" s="4"/>
      <c r="X56" s="4"/>
      <c r="Y56" s="4"/>
      <c r="Z56" s="4"/>
      <c r="AA56" s="4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4"/>
      <c r="V57" s="4"/>
      <c r="W57" s="4"/>
      <c r="X57" s="4"/>
      <c r="Y57" s="4"/>
      <c r="Z57" s="4"/>
      <c r="AA57" s="4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4"/>
      <c r="V58" s="4"/>
      <c r="W58" s="4"/>
      <c r="X58" s="4"/>
      <c r="Y58" s="4"/>
      <c r="Z58" s="4"/>
      <c r="AA58" s="4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4"/>
      <c r="V59" s="4"/>
      <c r="W59" s="4"/>
      <c r="X59" s="4"/>
      <c r="Y59" s="4"/>
      <c r="Z59" s="4"/>
      <c r="AA59" s="4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4"/>
      <c r="V60" s="4"/>
      <c r="W60" s="4"/>
      <c r="X60" s="4"/>
      <c r="Y60" s="4"/>
      <c r="Z60" s="4"/>
      <c r="AA60" s="4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4"/>
      <c r="V61" s="4"/>
      <c r="W61" s="4"/>
      <c r="X61" s="4"/>
      <c r="Y61" s="4"/>
      <c r="Z61" s="4"/>
      <c r="AA61" s="4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4"/>
      <c r="V62" s="4"/>
      <c r="W62" s="4"/>
      <c r="X62" s="4"/>
      <c r="Y62" s="4"/>
      <c r="Z62" s="4"/>
      <c r="AA62" s="4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4"/>
      <c r="V63" s="4"/>
      <c r="W63" s="4"/>
      <c r="X63" s="4"/>
      <c r="Y63" s="4"/>
      <c r="Z63" s="4"/>
      <c r="AA63" s="4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4"/>
      <c r="V64" s="4"/>
      <c r="W64" s="4"/>
      <c r="X64" s="4"/>
      <c r="Y64" s="4"/>
      <c r="Z64" s="4"/>
      <c r="AA64" s="4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4"/>
      <c r="V65" s="4"/>
      <c r="W65" s="4"/>
      <c r="X65" s="4"/>
      <c r="Y65" s="4"/>
      <c r="Z65" s="4"/>
      <c r="AA65" s="4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4"/>
      <c r="V66" s="4"/>
      <c r="W66" s="4"/>
      <c r="X66" s="4"/>
      <c r="Y66" s="4"/>
      <c r="Z66" s="4"/>
      <c r="AA66" s="4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4"/>
      <c r="V67" s="4"/>
      <c r="W67" s="4"/>
      <c r="X67" s="4"/>
      <c r="Y67" s="4"/>
      <c r="Z67" s="4"/>
      <c r="AA67" s="4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4"/>
      <c r="V68" s="4"/>
      <c r="W68" s="4"/>
      <c r="X68" s="4"/>
      <c r="Y68" s="4"/>
      <c r="Z68" s="4"/>
      <c r="AA68" s="4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4"/>
      <c r="V69" s="4"/>
      <c r="W69" s="4"/>
      <c r="X69" s="4"/>
      <c r="Y69" s="4"/>
      <c r="Z69" s="4"/>
      <c r="AA69" s="4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4"/>
      <c r="V70" s="4"/>
      <c r="W70" s="4"/>
      <c r="X70" s="4"/>
      <c r="Y70" s="4"/>
      <c r="Z70" s="4"/>
      <c r="AA70" s="4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4"/>
      <c r="V71" s="4"/>
      <c r="W71" s="4"/>
      <c r="X71" s="4"/>
      <c r="Y71" s="4"/>
      <c r="Z71" s="4"/>
      <c r="AA71" s="4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4"/>
      <c r="V72" s="4"/>
      <c r="W72" s="4"/>
      <c r="X72" s="4"/>
      <c r="Y72" s="4"/>
      <c r="Z72" s="4"/>
      <c r="AA72" s="4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4"/>
      <c r="V73" s="4"/>
      <c r="W73" s="4"/>
      <c r="X73" s="4"/>
      <c r="Y73" s="4"/>
      <c r="Z73" s="4"/>
      <c r="AA73" s="4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4"/>
      <c r="V74" s="4"/>
      <c r="W74" s="4"/>
      <c r="X74" s="4"/>
      <c r="Y74" s="4"/>
      <c r="Z74" s="4"/>
      <c r="AA74" s="4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4"/>
      <c r="V75" s="4"/>
      <c r="W75" s="4"/>
      <c r="X75" s="4"/>
      <c r="Y75" s="4"/>
      <c r="Z75" s="4"/>
      <c r="AA75" s="4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4"/>
      <c r="V76" s="4"/>
      <c r="W76" s="4"/>
      <c r="X76" s="4"/>
      <c r="Y76" s="4"/>
      <c r="Z76" s="4"/>
      <c r="AA76" s="4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4"/>
      <c r="V77" s="4"/>
      <c r="W77" s="4"/>
      <c r="X77" s="4"/>
      <c r="Y77" s="4"/>
      <c r="Z77" s="4"/>
      <c r="AA77" s="4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4"/>
      <c r="V78" s="4"/>
      <c r="W78" s="4"/>
      <c r="X78" s="4"/>
      <c r="Y78" s="4"/>
      <c r="Z78" s="4"/>
      <c r="AA78" s="4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4"/>
      <c r="V79" s="4"/>
      <c r="W79" s="4"/>
      <c r="X79" s="4"/>
      <c r="Y79" s="4"/>
      <c r="Z79" s="4"/>
      <c r="AA79" s="4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4"/>
      <c r="V80" s="4"/>
      <c r="W80" s="4"/>
      <c r="X80" s="4"/>
      <c r="Y80" s="4"/>
      <c r="Z80" s="4"/>
      <c r="AA80" s="4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4"/>
      <c r="V81" s="4"/>
      <c r="W81" s="4"/>
      <c r="X81" s="4"/>
      <c r="Y81" s="4"/>
      <c r="Z81" s="4"/>
      <c r="AA81" s="4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4"/>
      <c r="V82" s="4"/>
      <c r="W82" s="4"/>
      <c r="X82" s="4"/>
      <c r="Y82" s="4"/>
      <c r="Z82" s="4"/>
      <c r="AA82" s="4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4"/>
      <c r="V83" s="4"/>
      <c r="W83" s="4"/>
      <c r="X83" s="4"/>
      <c r="Y83" s="4"/>
      <c r="Z83" s="4"/>
      <c r="AA83" s="4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4"/>
      <c r="V84" s="4"/>
      <c r="W84" s="4"/>
      <c r="X84" s="4"/>
      <c r="Y84" s="4"/>
      <c r="Z84" s="4"/>
      <c r="AA84" s="4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4"/>
      <c r="V85" s="4"/>
      <c r="W85" s="4"/>
      <c r="X85" s="4"/>
      <c r="Y85" s="4"/>
      <c r="Z85" s="4"/>
      <c r="AA85" s="4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4"/>
      <c r="V86" s="4"/>
      <c r="W86" s="4"/>
      <c r="X86" s="4"/>
      <c r="Y86" s="4"/>
      <c r="Z86" s="4"/>
      <c r="AA86" s="4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4"/>
      <c r="V87" s="4"/>
      <c r="W87" s="4"/>
      <c r="X87" s="4"/>
      <c r="Y87" s="4"/>
      <c r="Z87" s="4"/>
      <c r="AA87" s="4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4"/>
      <c r="V88" s="4"/>
      <c r="W88" s="4"/>
      <c r="X88" s="4"/>
      <c r="Y88" s="4"/>
      <c r="Z88" s="4"/>
      <c r="AA88" s="4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4"/>
      <c r="V89" s="4"/>
      <c r="W89" s="4"/>
      <c r="X89" s="4"/>
      <c r="Y89" s="4"/>
      <c r="Z89" s="4"/>
      <c r="AA89" s="4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4"/>
      <c r="V90" s="4"/>
      <c r="W90" s="4"/>
      <c r="X90" s="4"/>
      <c r="Y90" s="4"/>
      <c r="Z90" s="4"/>
      <c r="AA90" s="4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4"/>
      <c r="V91" s="4"/>
      <c r="W91" s="4"/>
      <c r="X91" s="4"/>
      <c r="Y91" s="4"/>
      <c r="Z91" s="4"/>
      <c r="AA91" s="4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4"/>
      <c r="V92" s="4"/>
      <c r="W92" s="4"/>
      <c r="X92" s="4"/>
      <c r="Y92" s="4"/>
      <c r="Z92" s="4"/>
      <c r="AA92" s="4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4"/>
      <c r="V93" s="4"/>
      <c r="W93" s="4"/>
      <c r="X93" s="4"/>
      <c r="Y93" s="4"/>
      <c r="Z93" s="4"/>
      <c r="AA93" s="4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4"/>
      <c r="V94" s="4"/>
      <c r="W94" s="4"/>
      <c r="X94" s="4"/>
      <c r="Y94" s="4"/>
      <c r="Z94" s="4"/>
      <c r="AA94" s="4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4"/>
      <c r="V95" s="4"/>
      <c r="W95" s="4"/>
      <c r="X95" s="4"/>
      <c r="Y95" s="4"/>
      <c r="Z95" s="4"/>
      <c r="AA95" s="4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4"/>
      <c r="V96" s="4"/>
      <c r="W96" s="4"/>
      <c r="X96" s="4"/>
      <c r="Y96" s="4"/>
      <c r="Z96" s="4"/>
      <c r="AA96" s="4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4"/>
      <c r="V97" s="4"/>
      <c r="W97" s="4"/>
      <c r="X97" s="4"/>
      <c r="Y97" s="4"/>
      <c r="Z97" s="4"/>
      <c r="AA97" s="4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4"/>
      <c r="V98" s="4"/>
      <c r="W98" s="4"/>
      <c r="X98" s="4"/>
      <c r="Y98" s="4"/>
      <c r="Z98" s="4"/>
      <c r="AA98" s="4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4"/>
      <c r="V99" s="4"/>
      <c r="W99" s="4"/>
      <c r="X99" s="4"/>
      <c r="Y99" s="4"/>
      <c r="Z99" s="4"/>
      <c r="AA99" s="4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4"/>
      <c r="V100" s="4"/>
      <c r="W100" s="4"/>
      <c r="X100" s="4"/>
      <c r="Y100" s="4"/>
      <c r="Z100" s="4"/>
      <c r="AA100" s="4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4"/>
      <c r="V101" s="4"/>
      <c r="W101" s="4"/>
      <c r="X101" s="4"/>
      <c r="Y101" s="4"/>
      <c r="Z101" s="4"/>
      <c r="AA101" s="4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4"/>
      <c r="V102" s="4"/>
      <c r="W102" s="4"/>
      <c r="X102" s="4"/>
      <c r="Y102" s="4"/>
      <c r="Z102" s="4"/>
      <c r="AA102" s="4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4"/>
      <c r="V103" s="4"/>
      <c r="W103" s="4"/>
      <c r="X103" s="4"/>
      <c r="Y103" s="4"/>
      <c r="Z103" s="4"/>
      <c r="AA103" s="4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4"/>
      <c r="V104" s="4"/>
      <c r="W104" s="4"/>
      <c r="X104" s="4"/>
      <c r="Y104" s="4"/>
      <c r="Z104" s="4"/>
      <c r="AA104" s="4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4"/>
      <c r="V105" s="4"/>
      <c r="W105" s="4"/>
      <c r="X105" s="4"/>
      <c r="Y105" s="4"/>
      <c r="Z105" s="4"/>
      <c r="AA105" s="4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4"/>
      <c r="V106" s="4"/>
      <c r="W106" s="4"/>
      <c r="X106" s="4"/>
      <c r="Y106" s="4"/>
      <c r="Z106" s="4"/>
      <c r="AA106" s="4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4"/>
      <c r="V107" s="4"/>
      <c r="W107" s="4"/>
      <c r="X107" s="4"/>
      <c r="Y107" s="4"/>
      <c r="Z107" s="4"/>
      <c r="AA107" s="4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4"/>
      <c r="V108" s="4"/>
      <c r="W108" s="4"/>
      <c r="X108" s="4"/>
      <c r="Y108" s="4"/>
      <c r="Z108" s="4"/>
      <c r="AA108" s="4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4"/>
      <c r="V109" s="4"/>
      <c r="W109" s="4"/>
      <c r="X109" s="4"/>
      <c r="Y109" s="4"/>
      <c r="Z109" s="4"/>
      <c r="AA109" s="4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4"/>
      <c r="V110" s="4"/>
      <c r="W110" s="4"/>
      <c r="X110" s="4"/>
      <c r="Y110" s="4"/>
      <c r="Z110" s="4"/>
      <c r="AA110" s="4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4"/>
      <c r="V111" s="4"/>
      <c r="W111" s="4"/>
      <c r="X111" s="4"/>
      <c r="Y111" s="4"/>
      <c r="Z111" s="4"/>
      <c r="AA111" s="4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4"/>
      <c r="V112" s="4"/>
      <c r="W112" s="4"/>
      <c r="X112" s="4"/>
      <c r="Y112" s="4"/>
      <c r="Z112" s="4"/>
      <c r="AA112" s="4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4"/>
      <c r="V113" s="4"/>
      <c r="W113" s="4"/>
      <c r="X113" s="4"/>
      <c r="Y113" s="4"/>
      <c r="Z113" s="4"/>
      <c r="AA113" s="4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4"/>
      <c r="V114" s="4"/>
      <c r="W114" s="4"/>
      <c r="X114" s="4"/>
      <c r="Y114" s="4"/>
      <c r="Z114" s="4"/>
      <c r="AA114" s="4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4"/>
      <c r="V115" s="4"/>
      <c r="W115" s="4"/>
      <c r="X115" s="4"/>
      <c r="Y115" s="4"/>
      <c r="Z115" s="4"/>
      <c r="AA115" s="4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4"/>
      <c r="V116" s="4"/>
      <c r="W116" s="4"/>
      <c r="X116" s="4"/>
      <c r="Y116" s="4"/>
      <c r="Z116" s="4"/>
      <c r="AA116" s="4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4"/>
      <c r="V117" s="4"/>
      <c r="W117" s="4"/>
      <c r="X117" s="4"/>
      <c r="Y117" s="4"/>
      <c r="Z117" s="4"/>
      <c r="AA117" s="4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4"/>
      <c r="V118" s="4"/>
      <c r="W118" s="4"/>
      <c r="X118" s="4"/>
      <c r="Y118" s="4"/>
      <c r="Z118" s="4"/>
      <c r="AA118" s="4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4"/>
      <c r="V119" s="4"/>
      <c r="W119" s="4"/>
      <c r="X119" s="4"/>
      <c r="Y119" s="4"/>
      <c r="Z119" s="4"/>
      <c r="AA119" s="4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4"/>
      <c r="V120" s="4"/>
      <c r="W120" s="4"/>
      <c r="X120" s="4"/>
      <c r="Y120" s="4"/>
      <c r="Z120" s="4"/>
      <c r="AA120" s="4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4"/>
      <c r="V121" s="4"/>
      <c r="W121" s="4"/>
      <c r="X121" s="4"/>
      <c r="Y121" s="4"/>
      <c r="Z121" s="4"/>
      <c r="AA121" s="4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4"/>
      <c r="V122" s="4"/>
      <c r="W122" s="4"/>
      <c r="X122" s="4"/>
      <c r="Y122" s="4"/>
      <c r="Z122" s="4"/>
      <c r="AA122" s="4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4"/>
      <c r="V123" s="4"/>
      <c r="W123" s="4"/>
      <c r="X123" s="4"/>
      <c r="Y123" s="4"/>
      <c r="Z123" s="4"/>
      <c r="AA123" s="4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4"/>
      <c r="V124" s="4"/>
      <c r="W124" s="4"/>
      <c r="X124" s="4"/>
      <c r="Y124" s="4"/>
      <c r="Z124" s="4"/>
      <c r="AA124" s="4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4"/>
      <c r="V125" s="4"/>
      <c r="W125" s="4"/>
      <c r="X125" s="4"/>
      <c r="Y125" s="4"/>
      <c r="Z125" s="4"/>
      <c r="AA125" s="4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4"/>
      <c r="V126" s="4"/>
      <c r="W126" s="4"/>
      <c r="X126" s="4"/>
      <c r="Y126" s="4"/>
      <c r="Z126" s="4"/>
      <c r="AA126" s="4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4"/>
      <c r="V127" s="4"/>
      <c r="W127" s="4"/>
      <c r="X127" s="4"/>
      <c r="Y127" s="4"/>
      <c r="Z127" s="4"/>
      <c r="AA127" s="4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4"/>
      <c r="V128" s="4"/>
      <c r="W128" s="4"/>
      <c r="X128" s="4"/>
      <c r="Y128" s="4"/>
      <c r="Z128" s="4"/>
      <c r="AA128" s="4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4"/>
      <c r="V129" s="4"/>
      <c r="W129" s="4"/>
      <c r="X129" s="4"/>
      <c r="Y129" s="4"/>
      <c r="Z129" s="4"/>
      <c r="AA129" s="4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4"/>
      <c r="V130" s="4"/>
      <c r="W130" s="4"/>
      <c r="X130" s="4"/>
      <c r="Y130" s="4"/>
      <c r="Z130" s="4"/>
      <c r="AA130" s="4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4"/>
      <c r="V131" s="4"/>
      <c r="W131" s="4"/>
      <c r="X131" s="4"/>
      <c r="Y131" s="4"/>
      <c r="Z131" s="4"/>
      <c r="AA131" s="4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4"/>
      <c r="V132" s="4"/>
      <c r="W132" s="4"/>
      <c r="X132" s="4"/>
      <c r="Y132" s="4"/>
      <c r="Z132" s="4"/>
      <c r="AA132" s="4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4"/>
      <c r="V133" s="4"/>
      <c r="W133" s="4"/>
      <c r="X133" s="4"/>
      <c r="Y133" s="4"/>
      <c r="Z133" s="4"/>
      <c r="AA133" s="4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4"/>
      <c r="V134" s="4"/>
      <c r="W134" s="4"/>
      <c r="X134" s="4"/>
      <c r="Y134" s="4"/>
      <c r="Z134" s="4"/>
      <c r="AA134" s="4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4"/>
      <c r="V135" s="4"/>
      <c r="W135" s="4"/>
      <c r="X135" s="4"/>
      <c r="Y135" s="4"/>
      <c r="Z135" s="4"/>
      <c r="AA135" s="4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4"/>
      <c r="V136" s="4"/>
      <c r="W136" s="4"/>
      <c r="X136" s="4"/>
      <c r="Y136" s="4"/>
      <c r="Z136" s="4"/>
      <c r="AA136" s="4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4"/>
      <c r="V137" s="4"/>
      <c r="W137" s="4"/>
      <c r="X137" s="4"/>
      <c r="Y137" s="4"/>
      <c r="Z137" s="4"/>
      <c r="AA137" s="4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4"/>
      <c r="V138" s="4"/>
      <c r="W138" s="4"/>
      <c r="X138" s="4"/>
      <c r="Y138" s="4"/>
      <c r="Z138" s="4"/>
      <c r="AA138" s="4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4"/>
      <c r="V139" s="4"/>
      <c r="W139" s="4"/>
      <c r="X139" s="4"/>
      <c r="Y139" s="4"/>
      <c r="Z139" s="4"/>
      <c r="AA139" s="4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4"/>
      <c r="V140" s="4"/>
      <c r="W140" s="4"/>
      <c r="X140" s="4"/>
      <c r="Y140" s="4"/>
      <c r="Z140" s="4"/>
      <c r="AA140" s="4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4"/>
      <c r="V141" s="4"/>
      <c r="W141" s="4"/>
      <c r="X141" s="4"/>
      <c r="Y141" s="4"/>
      <c r="Z141" s="4"/>
      <c r="AA141" s="4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4"/>
      <c r="V142" s="4"/>
      <c r="W142" s="4"/>
      <c r="X142" s="4"/>
      <c r="Y142" s="4"/>
      <c r="Z142" s="4"/>
      <c r="AA142" s="4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4"/>
      <c r="V143" s="4"/>
      <c r="W143" s="4"/>
      <c r="X143" s="4"/>
      <c r="Y143" s="4"/>
      <c r="Z143" s="4"/>
      <c r="AA143" s="4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4"/>
      <c r="V144" s="4"/>
      <c r="W144" s="4"/>
      <c r="X144" s="4"/>
      <c r="Y144" s="4"/>
      <c r="Z144" s="4"/>
      <c r="AA144" s="4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4"/>
      <c r="V145" s="4"/>
      <c r="W145" s="4"/>
      <c r="X145" s="4"/>
      <c r="Y145" s="4"/>
      <c r="Z145" s="4"/>
      <c r="AA145" s="4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4"/>
      <c r="V146" s="4"/>
      <c r="W146" s="4"/>
      <c r="X146" s="4"/>
      <c r="Y146" s="4"/>
      <c r="Z146" s="4"/>
      <c r="AA146" s="4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4"/>
      <c r="V147" s="4"/>
      <c r="W147" s="4"/>
      <c r="X147" s="4"/>
      <c r="Y147" s="4"/>
      <c r="Z147" s="4"/>
      <c r="AA147" s="4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4"/>
      <c r="V148" s="4"/>
      <c r="W148" s="4"/>
      <c r="X148" s="4"/>
      <c r="Y148" s="4"/>
      <c r="Z148" s="4"/>
      <c r="AA148" s="4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4"/>
      <c r="V149" s="4"/>
      <c r="W149" s="4"/>
      <c r="X149" s="4"/>
      <c r="Y149" s="4"/>
      <c r="Z149" s="4"/>
      <c r="AA149" s="4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4"/>
      <c r="V150" s="4"/>
      <c r="W150" s="4"/>
      <c r="X150" s="4"/>
      <c r="Y150" s="4"/>
      <c r="Z150" s="4"/>
      <c r="AA150" s="4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4"/>
      <c r="V151" s="4"/>
      <c r="W151" s="4"/>
      <c r="X151" s="4"/>
      <c r="Y151" s="4"/>
      <c r="Z151" s="4"/>
      <c r="AA151" s="4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4"/>
      <c r="V152" s="4"/>
      <c r="W152" s="4"/>
      <c r="X152" s="4"/>
      <c r="Y152" s="4"/>
      <c r="Z152" s="4"/>
      <c r="AA152" s="4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4"/>
      <c r="V153" s="4"/>
      <c r="W153" s="4"/>
      <c r="X153" s="4"/>
      <c r="Y153" s="4"/>
      <c r="Z153" s="4"/>
      <c r="AA153" s="4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4"/>
      <c r="V154" s="4"/>
      <c r="W154" s="4"/>
      <c r="X154" s="4"/>
      <c r="Y154" s="4"/>
      <c r="Z154" s="4"/>
      <c r="AA154" s="4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4"/>
      <c r="V155" s="4"/>
      <c r="W155" s="4"/>
      <c r="X155" s="4"/>
      <c r="Y155" s="4"/>
      <c r="Z155" s="4"/>
      <c r="AA155" s="4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4"/>
      <c r="V156" s="4"/>
      <c r="W156" s="4"/>
      <c r="X156" s="4"/>
      <c r="Y156" s="4"/>
      <c r="Z156" s="4"/>
      <c r="AA156" s="4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4"/>
      <c r="V157" s="4"/>
      <c r="W157" s="4"/>
      <c r="X157" s="4"/>
      <c r="Y157" s="4"/>
      <c r="Z157" s="4"/>
      <c r="AA157" s="4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4"/>
      <c r="V158" s="4"/>
      <c r="W158" s="4"/>
      <c r="X158" s="4"/>
      <c r="Y158" s="4"/>
      <c r="Z158" s="4"/>
      <c r="AA158" s="4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4"/>
      <c r="V159" s="4"/>
      <c r="W159" s="4"/>
      <c r="X159" s="4"/>
      <c r="Y159" s="4"/>
      <c r="Z159" s="4"/>
      <c r="AA159" s="4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4"/>
      <c r="V160" s="4"/>
      <c r="W160" s="4"/>
      <c r="X160" s="4"/>
      <c r="Y160" s="4"/>
      <c r="Z160" s="4"/>
      <c r="AA160" s="4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4"/>
      <c r="V161" s="4"/>
      <c r="W161" s="4"/>
      <c r="X161" s="4"/>
      <c r="Y161" s="4"/>
      <c r="Z161" s="4"/>
      <c r="AA161" s="4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4"/>
      <c r="V162" s="4"/>
      <c r="W162" s="4"/>
      <c r="X162" s="4"/>
      <c r="Y162" s="4"/>
      <c r="Z162" s="4"/>
      <c r="AA162" s="4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4"/>
      <c r="V163" s="4"/>
      <c r="W163" s="4"/>
      <c r="X163" s="4"/>
      <c r="Y163" s="4"/>
      <c r="Z163" s="4"/>
      <c r="AA163" s="4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4"/>
      <c r="V164" s="4"/>
      <c r="W164" s="4"/>
      <c r="X164" s="4"/>
      <c r="Y164" s="4"/>
      <c r="Z164" s="4"/>
      <c r="AA164" s="4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4"/>
      <c r="V165" s="4"/>
      <c r="W165" s="4"/>
      <c r="X165" s="4"/>
      <c r="Y165" s="4"/>
      <c r="Z165" s="4"/>
      <c r="AA165" s="4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4"/>
      <c r="V166" s="4"/>
      <c r="W166" s="4"/>
      <c r="X166" s="4"/>
      <c r="Y166" s="4"/>
      <c r="Z166" s="4"/>
      <c r="AA166" s="4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4"/>
      <c r="V167" s="4"/>
      <c r="W167" s="4"/>
      <c r="X167" s="4"/>
      <c r="Y167" s="4"/>
      <c r="Z167" s="4"/>
      <c r="AA167" s="4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4"/>
      <c r="V168" s="4"/>
      <c r="W168" s="4"/>
      <c r="X168" s="4"/>
      <c r="Y168" s="4"/>
      <c r="Z168" s="4"/>
      <c r="AA168" s="4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4"/>
      <c r="V169" s="4"/>
      <c r="W169" s="4"/>
      <c r="X169" s="4"/>
      <c r="Y169" s="4"/>
      <c r="Z169" s="4"/>
      <c r="AA169" s="4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4"/>
      <c r="V170" s="4"/>
      <c r="W170" s="4"/>
      <c r="X170" s="4"/>
      <c r="Y170" s="4"/>
      <c r="Z170" s="4"/>
      <c r="AA170" s="4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4"/>
      <c r="V171" s="4"/>
      <c r="W171" s="4"/>
      <c r="X171" s="4"/>
      <c r="Y171" s="4"/>
      <c r="Z171" s="4"/>
      <c r="AA171" s="4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4"/>
      <c r="V172" s="4"/>
      <c r="W172" s="4"/>
      <c r="X172" s="4"/>
      <c r="Y172" s="4"/>
      <c r="Z172" s="4"/>
      <c r="AA172" s="4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4"/>
      <c r="V173" s="4"/>
      <c r="W173" s="4"/>
      <c r="X173" s="4"/>
      <c r="Y173" s="4"/>
      <c r="Z173" s="4"/>
      <c r="AA173" s="4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4"/>
      <c r="V174" s="4"/>
      <c r="W174" s="4"/>
      <c r="X174" s="4"/>
      <c r="Y174" s="4"/>
      <c r="Z174" s="4"/>
      <c r="AA174" s="4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4"/>
      <c r="V175" s="4"/>
      <c r="W175" s="4"/>
      <c r="X175" s="4"/>
      <c r="Y175" s="4"/>
      <c r="Z175" s="4"/>
      <c r="AA175" s="4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4"/>
      <c r="V176" s="4"/>
      <c r="W176" s="4"/>
      <c r="X176" s="4"/>
      <c r="Y176" s="4"/>
      <c r="Z176" s="4"/>
      <c r="AA176" s="4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4"/>
      <c r="V177" s="4"/>
      <c r="W177" s="4"/>
      <c r="X177" s="4"/>
      <c r="Y177" s="4"/>
      <c r="Z177" s="4"/>
      <c r="AA177" s="4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4"/>
      <c r="V178" s="4"/>
      <c r="W178" s="4"/>
      <c r="X178" s="4"/>
      <c r="Y178" s="4"/>
      <c r="Z178" s="4"/>
      <c r="AA178" s="4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4"/>
      <c r="V179" s="4"/>
      <c r="W179" s="4"/>
      <c r="X179" s="4"/>
      <c r="Y179" s="4"/>
      <c r="Z179" s="4"/>
      <c r="AA179" s="4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4"/>
      <c r="V180" s="4"/>
      <c r="W180" s="4"/>
      <c r="X180" s="4"/>
      <c r="Y180" s="4"/>
      <c r="Z180" s="4"/>
      <c r="AA180" s="4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4"/>
      <c r="V181" s="4"/>
      <c r="W181" s="4"/>
      <c r="X181" s="4"/>
      <c r="Y181" s="4"/>
      <c r="Z181" s="4"/>
      <c r="AA181" s="4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4"/>
      <c r="V182" s="4"/>
      <c r="W182" s="4"/>
      <c r="X182" s="4"/>
      <c r="Y182" s="4"/>
      <c r="Z182" s="4"/>
      <c r="AA182" s="4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4"/>
      <c r="V183" s="4"/>
      <c r="W183" s="4"/>
      <c r="X183" s="4"/>
      <c r="Y183" s="4"/>
      <c r="Z183" s="4"/>
      <c r="AA183" s="4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4"/>
      <c r="V184" s="4"/>
      <c r="W184" s="4"/>
      <c r="X184" s="4"/>
      <c r="Y184" s="4"/>
      <c r="Z184" s="4"/>
      <c r="AA184" s="4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4"/>
      <c r="V185" s="4"/>
      <c r="W185" s="4"/>
      <c r="X185" s="4"/>
      <c r="Y185" s="4"/>
      <c r="Z185" s="4"/>
      <c r="AA185" s="4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4"/>
      <c r="V186" s="4"/>
      <c r="W186" s="4"/>
      <c r="X186" s="4"/>
      <c r="Y186" s="4"/>
      <c r="Z186" s="4"/>
      <c r="AA186" s="4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4"/>
      <c r="V187" s="4"/>
      <c r="W187" s="4"/>
      <c r="X187" s="4"/>
      <c r="Y187" s="4"/>
      <c r="Z187" s="4"/>
      <c r="AA187" s="4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4"/>
      <c r="V188" s="4"/>
      <c r="W188" s="4"/>
      <c r="X188" s="4"/>
      <c r="Y188" s="4"/>
      <c r="Z188" s="4"/>
      <c r="AA188" s="4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4"/>
      <c r="V189" s="4"/>
      <c r="W189" s="4"/>
      <c r="X189" s="4"/>
      <c r="Y189" s="4"/>
      <c r="Z189" s="4"/>
      <c r="AA189" s="4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4"/>
      <c r="V190" s="4"/>
      <c r="W190" s="4"/>
      <c r="X190" s="4"/>
      <c r="Y190" s="4"/>
      <c r="Z190" s="4"/>
      <c r="AA190" s="4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4"/>
      <c r="V191" s="4"/>
      <c r="W191" s="4"/>
      <c r="X191" s="4"/>
      <c r="Y191" s="4"/>
      <c r="Z191" s="4"/>
      <c r="AA191" s="4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4"/>
      <c r="V192" s="4"/>
      <c r="W192" s="4"/>
      <c r="X192" s="4"/>
      <c r="Y192" s="4"/>
      <c r="Z192" s="4"/>
      <c r="AA192" s="4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4"/>
      <c r="V193" s="4"/>
      <c r="W193" s="4"/>
      <c r="X193" s="4"/>
      <c r="Y193" s="4"/>
      <c r="Z193" s="4"/>
      <c r="AA193" s="4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4"/>
      <c r="V194" s="4"/>
      <c r="W194" s="4"/>
      <c r="X194" s="4"/>
      <c r="Y194" s="4"/>
      <c r="Z194" s="4"/>
      <c r="AA194" s="4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4"/>
      <c r="V195" s="4"/>
      <c r="W195" s="4"/>
      <c r="X195" s="4"/>
      <c r="Y195" s="4"/>
      <c r="Z195" s="4"/>
      <c r="AA195" s="4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4"/>
      <c r="V196" s="4"/>
      <c r="W196" s="4"/>
      <c r="X196" s="4"/>
      <c r="Y196" s="4"/>
      <c r="Z196" s="4"/>
      <c r="AA196" s="4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4"/>
      <c r="V197" s="4"/>
      <c r="W197" s="4"/>
      <c r="X197" s="4"/>
      <c r="Y197" s="4"/>
      <c r="Z197" s="4"/>
      <c r="AA197" s="4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4"/>
      <c r="V198" s="4"/>
      <c r="W198" s="4"/>
      <c r="X198" s="4"/>
      <c r="Y198" s="4"/>
      <c r="Z198" s="4"/>
      <c r="AA198" s="4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4"/>
      <c r="V199" s="4"/>
      <c r="W199" s="4"/>
      <c r="X199" s="4"/>
      <c r="Y199" s="4"/>
      <c r="Z199" s="4"/>
      <c r="AA199" s="4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4"/>
      <c r="V200" s="4"/>
      <c r="W200" s="4"/>
      <c r="X200" s="4"/>
      <c r="Y200" s="4"/>
      <c r="Z200" s="4"/>
      <c r="AA200" s="4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4"/>
      <c r="V201" s="4"/>
      <c r="W201" s="4"/>
      <c r="X201" s="4"/>
      <c r="Y201" s="4"/>
      <c r="Z201" s="4"/>
      <c r="AA201" s="4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4"/>
      <c r="V202" s="4"/>
      <c r="W202" s="4"/>
      <c r="X202" s="4"/>
      <c r="Y202" s="4"/>
      <c r="Z202" s="4"/>
      <c r="AA202" s="4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4"/>
      <c r="V203" s="4"/>
      <c r="W203" s="4"/>
      <c r="X203" s="4"/>
      <c r="Y203" s="4"/>
      <c r="Z203" s="4"/>
      <c r="AA203" s="4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4"/>
      <c r="V204" s="4"/>
      <c r="W204" s="4"/>
      <c r="X204" s="4"/>
      <c r="Y204" s="4"/>
      <c r="Z204" s="4"/>
      <c r="AA204" s="4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4"/>
      <c r="V205" s="4"/>
      <c r="W205" s="4"/>
      <c r="X205" s="4"/>
      <c r="Y205" s="4"/>
      <c r="Z205" s="4"/>
      <c r="AA205" s="4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4"/>
      <c r="V206" s="4"/>
      <c r="W206" s="4"/>
      <c r="X206" s="4"/>
      <c r="Y206" s="4"/>
      <c r="Z206" s="4"/>
      <c r="AA206" s="4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4"/>
      <c r="V207" s="4"/>
      <c r="W207" s="4"/>
      <c r="X207" s="4"/>
      <c r="Y207" s="4"/>
      <c r="Z207" s="4"/>
      <c r="AA207" s="4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4"/>
      <c r="V208" s="4"/>
      <c r="W208" s="4"/>
      <c r="X208" s="4"/>
      <c r="Y208" s="4"/>
      <c r="Z208" s="4"/>
      <c r="AA208" s="4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4"/>
      <c r="V209" s="4"/>
      <c r="W209" s="4"/>
      <c r="X209" s="4"/>
      <c r="Y209" s="4"/>
      <c r="Z209" s="4"/>
      <c r="AA209" s="4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4"/>
      <c r="V210" s="4"/>
      <c r="W210" s="4"/>
      <c r="X210" s="4"/>
      <c r="Y210" s="4"/>
      <c r="Z210" s="4"/>
      <c r="AA210" s="4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4"/>
      <c r="V211" s="4"/>
      <c r="W211" s="4"/>
      <c r="X211" s="4"/>
      <c r="Y211" s="4"/>
      <c r="Z211" s="4"/>
      <c r="AA211" s="4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4"/>
      <c r="V212" s="4"/>
      <c r="W212" s="4"/>
      <c r="X212" s="4"/>
      <c r="Y212" s="4"/>
      <c r="Z212" s="4"/>
      <c r="AA212" s="4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4"/>
      <c r="V213" s="4"/>
      <c r="W213" s="4"/>
      <c r="X213" s="4"/>
      <c r="Y213" s="4"/>
      <c r="Z213" s="4"/>
      <c r="AA213" s="4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4"/>
      <c r="V214" s="4"/>
      <c r="W214" s="4"/>
      <c r="X214" s="4"/>
      <c r="Y214" s="4"/>
      <c r="Z214" s="4"/>
      <c r="AA214" s="4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4"/>
      <c r="V215" s="4"/>
      <c r="W215" s="4"/>
      <c r="X215" s="4"/>
      <c r="Y215" s="4"/>
      <c r="Z215" s="4"/>
      <c r="AA215" s="4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4"/>
      <c r="V216" s="4"/>
      <c r="W216" s="4"/>
      <c r="X216" s="4"/>
      <c r="Y216" s="4"/>
      <c r="Z216" s="4"/>
      <c r="AA216" s="4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4"/>
      <c r="V217" s="4"/>
      <c r="W217" s="4"/>
      <c r="X217" s="4"/>
      <c r="Y217" s="4"/>
      <c r="Z217" s="4"/>
      <c r="AA217" s="4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4"/>
      <c r="V218" s="4"/>
      <c r="W218" s="4"/>
      <c r="X218" s="4"/>
      <c r="Y218" s="4"/>
      <c r="Z218" s="4"/>
      <c r="AA218" s="4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4"/>
      <c r="V219" s="4"/>
      <c r="W219" s="4"/>
      <c r="X219" s="4"/>
      <c r="Y219" s="4"/>
      <c r="Z219" s="4"/>
      <c r="AA219" s="4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4"/>
      <c r="V220" s="4"/>
      <c r="W220" s="4"/>
      <c r="X220" s="4"/>
      <c r="Y220" s="4"/>
      <c r="Z220" s="4"/>
      <c r="AA220" s="4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19">
    <mergeCell ref="B5:B6"/>
    <mergeCell ref="C5:C6"/>
    <mergeCell ref="D5:D6"/>
    <mergeCell ref="E5:E6"/>
    <mergeCell ref="F5:F6"/>
    <mergeCell ref="G5:G6"/>
    <mergeCell ref="H5:H6"/>
    <mergeCell ref="I5:J5"/>
    <mergeCell ref="K5:L5"/>
    <mergeCell ref="M5:N5"/>
    <mergeCell ref="R4:R6"/>
    <mergeCell ref="Q5:Q6"/>
    <mergeCell ref="B1:T1"/>
    <mergeCell ref="B3:T3"/>
    <mergeCell ref="D4:H4"/>
    <mergeCell ref="I4:Q4"/>
    <mergeCell ref="S4:S6"/>
    <mergeCell ref="T4:T6"/>
    <mergeCell ref="O5:P5"/>
  </mergeCells>
  <conditionalFormatting sqref="H18:R18">
    <cfRule type="cellIs" dxfId="0" priority="1" operator="notEqual">
      <formula>#REF!+#REF!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4B4"/>
    <pageSetUpPr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18.29"/>
    <col customWidth="1" min="3" max="3" width="31.71"/>
    <col customWidth="1" min="4" max="4" width="23.57"/>
    <col customWidth="1" min="5" max="6" width="14.29"/>
    <col customWidth="1" min="7" max="8" width="17.0"/>
    <col customWidth="1" min="9" max="9" width="17.29"/>
    <col customWidth="1" min="10" max="10" width="17.0"/>
    <col customWidth="1" min="11" max="12" width="17.57"/>
    <col customWidth="1" min="13" max="13" width="18.86"/>
    <col customWidth="1" min="14" max="33" width="11.43"/>
  </cols>
  <sheetData>
    <row r="1" ht="14.25" customHeight="1">
      <c r="A1" s="4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5"/>
    </row>
    <row r="2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14.25" customHeight="1">
      <c r="A3" s="4"/>
      <c r="B3" s="11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5"/>
      <c r="N3" s="15"/>
      <c r="O3" s="4"/>
      <c r="P3" s="4"/>
      <c r="Q3" s="4"/>
      <c r="R3" s="4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ht="14.25" customHeight="1">
      <c r="A4" s="4"/>
      <c r="B4" s="4"/>
      <c r="C4" s="4"/>
      <c r="D4" s="4"/>
      <c r="E4" s="22" t="s">
        <v>14</v>
      </c>
      <c r="F4" s="23"/>
      <c r="G4" s="23"/>
      <c r="H4" s="23"/>
      <c r="I4" s="23"/>
      <c r="J4" s="23"/>
      <c r="K4" s="23"/>
      <c r="L4" s="23"/>
      <c r="M4" s="26"/>
      <c r="N4" s="4"/>
      <c r="O4" s="4"/>
      <c r="P4" s="4"/>
      <c r="Q4" s="4"/>
      <c r="R4" s="4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ht="27.0" customHeight="1">
      <c r="A5" s="4"/>
      <c r="B5" s="4"/>
      <c r="C5" s="4"/>
      <c r="D5" s="4"/>
      <c r="E5" s="30" t="s">
        <v>20</v>
      </c>
      <c r="F5" s="32"/>
      <c r="G5" s="22" t="s">
        <v>23</v>
      </c>
      <c r="H5" s="26"/>
      <c r="I5" s="37" t="s">
        <v>26</v>
      </c>
      <c r="J5" s="32"/>
      <c r="K5" s="22" t="s">
        <v>29</v>
      </c>
      <c r="L5" s="26"/>
      <c r="M5" s="43" t="s">
        <v>33</v>
      </c>
      <c r="N5" s="4"/>
      <c r="O5" s="4"/>
      <c r="P5" s="4"/>
      <c r="Q5" s="4"/>
      <c r="R5" s="4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ht="66.75" customHeight="1">
      <c r="A6" s="4"/>
      <c r="B6" s="45" t="s">
        <v>34</v>
      </c>
      <c r="C6" s="47" t="s">
        <v>36</v>
      </c>
      <c r="D6" s="45" t="s">
        <v>38</v>
      </c>
      <c r="E6" s="49" t="s">
        <v>39</v>
      </c>
      <c r="F6" s="52" t="s">
        <v>42</v>
      </c>
      <c r="G6" s="49" t="s">
        <v>39</v>
      </c>
      <c r="H6" s="55" t="s">
        <v>42</v>
      </c>
      <c r="I6" s="58" t="s">
        <v>39</v>
      </c>
      <c r="J6" s="52" t="s">
        <v>42</v>
      </c>
      <c r="K6" s="49" t="s">
        <v>39</v>
      </c>
      <c r="L6" s="55" t="s">
        <v>42</v>
      </c>
      <c r="M6" s="61"/>
      <c r="N6" s="4"/>
      <c r="O6" s="4"/>
      <c r="P6" s="4"/>
      <c r="Q6" s="4"/>
      <c r="R6" s="4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ht="14.25" customHeight="1">
      <c r="A7" s="4"/>
      <c r="B7" s="64" t="s">
        <v>46</v>
      </c>
      <c r="C7" s="70" t="s">
        <v>48</v>
      </c>
      <c r="D7" s="72" t="s">
        <v>51</v>
      </c>
      <c r="E7" s="73">
        <v>6.0E8</v>
      </c>
      <c r="F7" s="74">
        <v>1.0E8</v>
      </c>
      <c r="G7" s="73">
        <v>2.0E8</v>
      </c>
      <c r="H7" s="76">
        <v>5.0E7</v>
      </c>
      <c r="I7" s="78">
        <v>4.0E7</v>
      </c>
      <c r="J7" s="81"/>
      <c r="K7" s="73">
        <v>5000000.0</v>
      </c>
      <c r="L7" s="84"/>
      <c r="M7" s="89">
        <f t="shared" ref="M7:M15" si="1">SUM(E7:K7)</f>
        <v>995000000</v>
      </c>
      <c r="N7" s="4"/>
      <c r="O7" s="4"/>
      <c r="P7" s="4"/>
      <c r="Q7" s="4"/>
      <c r="R7" s="4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ht="14.25" customHeight="1">
      <c r="A8" s="4"/>
      <c r="B8" s="92" t="s">
        <v>59</v>
      </c>
      <c r="C8" s="94" t="s">
        <v>61</v>
      </c>
      <c r="D8" s="95" t="s">
        <v>63</v>
      </c>
      <c r="E8" s="97"/>
      <c r="F8" s="74">
        <v>9.9E7</v>
      </c>
      <c r="G8" s="97"/>
      <c r="H8" s="76">
        <v>5.0E7</v>
      </c>
      <c r="I8" s="99"/>
      <c r="J8" s="100"/>
      <c r="K8" s="101"/>
      <c r="L8" s="102"/>
      <c r="M8" s="105">
        <f t="shared" si="1"/>
        <v>149000000</v>
      </c>
      <c r="N8" s="4"/>
      <c r="O8" s="4"/>
      <c r="P8" s="4"/>
      <c r="Q8" s="4"/>
      <c r="R8" s="4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ht="14.25" customHeight="1">
      <c r="A9" s="4"/>
      <c r="B9" s="92" t="s">
        <v>71</v>
      </c>
      <c r="C9" s="109" t="s">
        <v>72</v>
      </c>
      <c r="D9" s="110" t="s">
        <v>63</v>
      </c>
      <c r="E9" s="111">
        <v>4.0E7</v>
      </c>
      <c r="F9" s="74">
        <v>1.0E8</v>
      </c>
      <c r="G9" s="112">
        <v>1.0E7</v>
      </c>
      <c r="H9" s="76">
        <v>5.0E7</v>
      </c>
      <c r="I9" s="99"/>
      <c r="J9" s="100"/>
      <c r="K9" s="113"/>
      <c r="L9" s="115"/>
      <c r="M9" s="116">
        <f t="shared" si="1"/>
        <v>200000000</v>
      </c>
      <c r="N9" s="4"/>
      <c r="O9" s="4"/>
      <c r="P9" s="4"/>
      <c r="Q9" s="4"/>
      <c r="R9" s="4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ht="14.25" customHeight="1">
      <c r="A10" s="4"/>
      <c r="B10" s="92" t="s">
        <v>76</v>
      </c>
      <c r="C10" s="109" t="s">
        <v>77</v>
      </c>
      <c r="D10" s="110" t="s">
        <v>78</v>
      </c>
      <c r="E10" s="111">
        <v>4.0E7</v>
      </c>
      <c r="F10" s="74">
        <v>1.0E8</v>
      </c>
      <c r="G10" s="112">
        <v>1.0E7</v>
      </c>
      <c r="H10" s="76">
        <v>5.0E7</v>
      </c>
      <c r="I10" s="99"/>
      <c r="J10" s="100"/>
      <c r="K10" s="113"/>
      <c r="M10" s="116">
        <f t="shared" si="1"/>
        <v>200000000</v>
      </c>
      <c r="N10" s="4"/>
      <c r="O10" s="4"/>
      <c r="P10" s="4"/>
      <c r="Q10" s="4"/>
      <c r="R10" s="4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ht="14.25" customHeight="1">
      <c r="A11" s="4"/>
      <c r="B11" s="92" t="s">
        <v>84</v>
      </c>
      <c r="C11" s="109" t="s">
        <v>85</v>
      </c>
      <c r="D11" s="126" t="s">
        <v>86</v>
      </c>
      <c r="E11" s="111">
        <v>4.0E7</v>
      </c>
      <c r="F11" s="74">
        <v>1.0E8</v>
      </c>
      <c r="G11" s="112">
        <v>1.0E7</v>
      </c>
      <c r="H11" s="76">
        <v>5.0E7</v>
      </c>
      <c r="I11" s="99"/>
      <c r="J11" s="100"/>
      <c r="K11" s="113"/>
      <c r="L11" s="115"/>
      <c r="M11" s="116">
        <f t="shared" si="1"/>
        <v>200000000</v>
      </c>
      <c r="N11" s="4"/>
      <c r="O11" s="4"/>
      <c r="P11" s="4"/>
      <c r="Q11" s="4"/>
      <c r="R11" s="4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ht="14.25" customHeight="1">
      <c r="A12" s="4"/>
      <c r="B12" s="92" t="s">
        <v>87</v>
      </c>
      <c r="C12" s="109" t="s">
        <v>89</v>
      </c>
      <c r="D12" s="110" t="s">
        <v>90</v>
      </c>
      <c r="E12" s="111">
        <v>4.0E7</v>
      </c>
      <c r="F12" s="74">
        <v>1.0E8</v>
      </c>
      <c r="G12" s="112">
        <v>1.0E7</v>
      </c>
      <c r="H12" s="76">
        <v>5.0E7</v>
      </c>
      <c r="I12" s="99"/>
      <c r="J12" s="100"/>
      <c r="K12" s="113"/>
      <c r="L12" s="115"/>
      <c r="M12" s="116">
        <f t="shared" si="1"/>
        <v>200000000</v>
      </c>
      <c r="N12" s="4"/>
      <c r="O12" s="4"/>
      <c r="P12" s="4"/>
      <c r="Q12" s="4"/>
      <c r="R12" s="4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ht="14.25" customHeight="1">
      <c r="A13" s="4"/>
      <c r="B13" s="92" t="s">
        <v>91</v>
      </c>
      <c r="C13" s="109" t="s">
        <v>92</v>
      </c>
      <c r="D13" s="110" t="s">
        <v>78</v>
      </c>
      <c r="E13" s="113"/>
      <c r="F13" s="74">
        <v>2.9E7</v>
      </c>
      <c r="G13" s="97"/>
      <c r="H13" s="132"/>
      <c r="I13" s="99"/>
      <c r="J13" s="100"/>
      <c r="K13" s="113"/>
      <c r="L13" s="115"/>
      <c r="M13" s="116">
        <f t="shared" si="1"/>
        <v>29000000</v>
      </c>
      <c r="N13" s="4"/>
      <c r="O13" s="4"/>
      <c r="P13" s="4"/>
      <c r="Q13" s="4"/>
      <c r="R13" s="4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ht="14.25" customHeight="1">
      <c r="A14" s="4"/>
      <c r="B14" s="92" t="s">
        <v>96</v>
      </c>
      <c r="C14" s="109" t="s">
        <v>97</v>
      </c>
      <c r="D14" s="110" t="s">
        <v>63</v>
      </c>
      <c r="E14" s="113"/>
      <c r="F14" s="74">
        <v>2.7E7</v>
      </c>
      <c r="G14" s="97"/>
      <c r="H14" s="132"/>
      <c r="I14" s="99"/>
      <c r="J14" s="100"/>
      <c r="K14" s="113"/>
      <c r="L14" s="115"/>
      <c r="M14" s="116">
        <f t="shared" si="1"/>
        <v>27000000</v>
      </c>
      <c r="N14" s="4"/>
      <c r="O14" s="4"/>
      <c r="P14" s="4"/>
      <c r="Q14" s="4"/>
      <c r="R14" s="4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ht="14.25" customHeight="1">
      <c r="A15" s="4"/>
      <c r="B15" s="138"/>
      <c r="C15" s="139"/>
      <c r="D15" s="141"/>
      <c r="E15" s="142"/>
      <c r="F15" s="143"/>
      <c r="G15" s="144"/>
      <c r="H15" s="145"/>
      <c r="I15" s="147"/>
      <c r="J15" s="148"/>
      <c r="K15" s="142"/>
      <c r="L15" s="149"/>
      <c r="M15" s="150">
        <f t="shared" si="1"/>
        <v>0</v>
      </c>
      <c r="N15" s="4"/>
      <c r="O15" s="4"/>
      <c r="P15" s="4"/>
      <c r="Q15" s="4"/>
      <c r="R15" s="4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ht="14.25" customHeight="1">
      <c r="A16" s="4"/>
      <c r="B16" s="151"/>
      <c r="C16" s="151"/>
      <c r="D16" s="151"/>
      <c r="E16" s="152">
        <f t="shared" ref="E16:H16" si="2">SUM(E7:E15)</f>
        <v>760000000</v>
      </c>
      <c r="F16" s="152">
        <f t="shared" si="2"/>
        <v>655000000</v>
      </c>
      <c r="G16" s="152">
        <f t="shared" si="2"/>
        <v>240000000</v>
      </c>
      <c r="H16" s="152">
        <f t="shared" si="2"/>
        <v>300000000</v>
      </c>
      <c r="I16" s="153">
        <f t="shared" ref="I16:L16" si="3">SUM(I7:I12)</f>
        <v>40000000</v>
      </c>
      <c r="J16" s="154">
        <f t="shared" si="3"/>
        <v>0</v>
      </c>
      <c r="K16" s="152">
        <f t="shared" si="3"/>
        <v>5000000</v>
      </c>
      <c r="L16" s="143">
        <f t="shared" si="3"/>
        <v>0</v>
      </c>
      <c r="M16" s="157">
        <f>SUM(M7:M15)</f>
        <v>2000000000</v>
      </c>
      <c r="N16" s="4"/>
      <c r="O16" s="4"/>
      <c r="P16" s="4"/>
      <c r="Q16" s="4"/>
      <c r="R16" s="4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ht="14.25" customHeight="1">
      <c r="A20" s="4"/>
      <c r="B20" s="4"/>
      <c r="C20" s="4"/>
      <c r="D20" s="4"/>
      <c r="E20" s="4"/>
      <c r="F20" s="134">
        <f>F8+F14/2</f>
        <v>112500000</v>
      </c>
      <c r="G20" s="134">
        <f>F20/3</f>
        <v>37500000</v>
      </c>
      <c r="H20" s="134"/>
      <c r="I20" s="4"/>
      <c r="J20" s="4"/>
      <c r="K20" s="4"/>
      <c r="L20" s="4"/>
      <c r="M20" s="4"/>
      <c r="N20" s="4"/>
      <c r="O20" s="4"/>
      <c r="P20" s="4"/>
      <c r="Q20" s="4"/>
      <c r="R20" s="4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ht="14.25" customHeight="1">
      <c r="A21" s="4"/>
      <c r="B21" s="4"/>
      <c r="C21" s="4"/>
      <c r="D21" s="4"/>
      <c r="E21" s="4"/>
      <c r="F21" s="134">
        <f>F9+F14/2</f>
        <v>113500000</v>
      </c>
      <c r="G21" s="134">
        <f>F21/2</f>
        <v>56750000</v>
      </c>
      <c r="H21" s="134"/>
      <c r="I21" s="4"/>
      <c r="J21" s="4"/>
      <c r="K21" s="4"/>
      <c r="L21" s="4"/>
      <c r="M21" s="4"/>
      <c r="N21" s="4"/>
      <c r="O21" s="4"/>
      <c r="P21" s="4"/>
      <c r="Q21" s="4"/>
      <c r="R21" s="4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ht="14.25" customHeight="1">
      <c r="A22" s="4"/>
      <c r="B22" s="4"/>
      <c r="C22" s="4"/>
      <c r="D22" s="4"/>
      <c r="E22" s="4"/>
      <c r="F22" s="134">
        <f>SUM(F20:F21)</f>
        <v>226000000</v>
      </c>
      <c r="G22" s="13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ht="14.25" customHeight="1">
      <c r="A23" s="4"/>
      <c r="B23" s="4"/>
      <c r="C23" s="4"/>
      <c r="D23" s="4"/>
      <c r="E23" s="134"/>
      <c r="F23" s="134"/>
      <c r="G23" s="13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ht="14.25" customHeight="1">
      <c r="A31" s="1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ht="14.25" customHeight="1">
      <c r="A32" s="1"/>
      <c r="B32" s="1"/>
      <c r="C32" s="1"/>
      <c r="D32" s="1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4"/>
      <c r="O33" s="4"/>
      <c r="P33" s="4"/>
      <c r="Q33" s="4"/>
      <c r="R33" s="4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4"/>
      <c r="O34" s="4"/>
      <c r="P34" s="4"/>
      <c r="Q34" s="4"/>
      <c r="R34" s="4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4"/>
      <c r="O35" s="4"/>
      <c r="P35" s="4"/>
      <c r="Q35" s="4"/>
      <c r="R35" s="4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4"/>
      <c r="O36" s="4"/>
      <c r="P36" s="4"/>
      <c r="Q36" s="4"/>
      <c r="R36" s="4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4"/>
      <c r="O37" s="4"/>
      <c r="P37" s="4"/>
      <c r="Q37" s="4"/>
      <c r="R37" s="4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4"/>
      <c r="O38" s="4"/>
      <c r="P38" s="4"/>
      <c r="Q38" s="4"/>
      <c r="R38" s="4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4"/>
      <c r="O39" s="4"/>
      <c r="P39" s="4"/>
      <c r="Q39" s="4"/>
      <c r="R39" s="4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4"/>
      <c r="O40" s="4"/>
      <c r="P40" s="4"/>
      <c r="Q40" s="4"/>
      <c r="R40" s="4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4"/>
      <c r="O41" s="4"/>
      <c r="P41" s="4"/>
      <c r="Q41" s="4"/>
      <c r="R41" s="4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4"/>
      <c r="O42" s="4"/>
      <c r="P42" s="4"/>
      <c r="Q42" s="4"/>
      <c r="R42" s="4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4"/>
      <c r="O43" s="4"/>
      <c r="P43" s="4"/>
      <c r="Q43" s="4"/>
      <c r="R43" s="4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4"/>
      <c r="O44" s="4"/>
      <c r="P44" s="4"/>
      <c r="Q44" s="4"/>
      <c r="R44" s="4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4"/>
      <c r="O45" s="4"/>
      <c r="P45" s="4"/>
      <c r="Q45" s="4"/>
      <c r="R45" s="4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4"/>
      <c r="O46" s="4"/>
      <c r="P46" s="4"/>
      <c r="Q46" s="4"/>
      <c r="R46" s="4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4"/>
      <c r="O47" s="4"/>
      <c r="P47" s="4"/>
      <c r="Q47" s="4"/>
      <c r="R47" s="4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4"/>
      <c r="O48" s="4"/>
      <c r="P48" s="4"/>
      <c r="Q48" s="4"/>
      <c r="R48" s="4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4"/>
      <c r="O49" s="4"/>
      <c r="P49" s="4"/>
      <c r="Q49" s="4"/>
      <c r="R49" s="4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4"/>
      <c r="O50" s="4"/>
      <c r="P50" s="4"/>
      <c r="Q50" s="4"/>
      <c r="R50" s="4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4"/>
      <c r="O51" s="4"/>
      <c r="P51" s="4"/>
      <c r="Q51" s="4"/>
      <c r="R51" s="4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4"/>
      <c r="O52" s="4"/>
      <c r="P52" s="4"/>
      <c r="Q52" s="4"/>
      <c r="R52" s="4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4"/>
      <c r="O53" s="4"/>
      <c r="P53" s="4"/>
      <c r="Q53" s="4"/>
      <c r="R53" s="4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4"/>
      <c r="O54" s="4"/>
      <c r="P54" s="4"/>
      <c r="Q54" s="4"/>
      <c r="R54" s="4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4"/>
      <c r="O55" s="4"/>
      <c r="P55" s="4"/>
      <c r="Q55" s="4"/>
      <c r="R55" s="4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4"/>
      <c r="O56" s="4"/>
      <c r="P56" s="4"/>
      <c r="Q56" s="4"/>
      <c r="R56" s="4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4"/>
      <c r="O57" s="4"/>
      <c r="P57" s="4"/>
      <c r="Q57" s="4"/>
      <c r="R57" s="4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4"/>
      <c r="O58" s="4"/>
      <c r="P58" s="4"/>
      <c r="Q58" s="4"/>
      <c r="R58" s="4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4"/>
      <c r="O59" s="4"/>
      <c r="P59" s="4"/>
      <c r="Q59" s="4"/>
      <c r="R59" s="4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4"/>
      <c r="O60" s="4"/>
      <c r="P60" s="4"/>
      <c r="Q60" s="4"/>
      <c r="R60" s="4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4"/>
      <c r="O61" s="4"/>
      <c r="P61" s="4"/>
      <c r="Q61" s="4"/>
      <c r="R61" s="4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4"/>
      <c r="O62" s="4"/>
      <c r="P62" s="4"/>
      <c r="Q62" s="4"/>
      <c r="R62" s="4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4"/>
      <c r="O63" s="4"/>
      <c r="P63" s="4"/>
      <c r="Q63" s="4"/>
      <c r="R63" s="4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4"/>
      <c r="O64" s="4"/>
      <c r="P64" s="4"/>
      <c r="Q64" s="4"/>
      <c r="R64" s="4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4"/>
      <c r="O65" s="4"/>
      <c r="P65" s="4"/>
      <c r="Q65" s="4"/>
      <c r="R65" s="4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4"/>
      <c r="O66" s="4"/>
      <c r="P66" s="4"/>
      <c r="Q66" s="4"/>
      <c r="R66" s="4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4"/>
      <c r="O67" s="4"/>
      <c r="P67" s="4"/>
      <c r="Q67" s="4"/>
      <c r="R67" s="4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4"/>
      <c r="O68" s="4"/>
      <c r="P68" s="4"/>
      <c r="Q68" s="4"/>
      <c r="R68" s="4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4"/>
      <c r="O69" s="4"/>
      <c r="P69" s="4"/>
      <c r="Q69" s="4"/>
      <c r="R69" s="4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4"/>
      <c r="O70" s="4"/>
      <c r="P70" s="4"/>
      <c r="Q70" s="4"/>
      <c r="R70" s="4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4"/>
      <c r="O71" s="4"/>
      <c r="P71" s="4"/>
      <c r="Q71" s="4"/>
      <c r="R71" s="4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4"/>
      <c r="O72" s="4"/>
      <c r="P72" s="4"/>
      <c r="Q72" s="4"/>
      <c r="R72" s="4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4"/>
      <c r="O73" s="4"/>
      <c r="P73" s="4"/>
      <c r="Q73" s="4"/>
      <c r="R73" s="4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4"/>
      <c r="O74" s="4"/>
      <c r="P74" s="4"/>
      <c r="Q74" s="4"/>
      <c r="R74" s="4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4"/>
      <c r="O75" s="4"/>
      <c r="P75" s="4"/>
      <c r="Q75" s="4"/>
      <c r="R75" s="4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4"/>
      <c r="O76" s="4"/>
      <c r="P76" s="4"/>
      <c r="Q76" s="4"/>
      <c r="R76" s="4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4"/>
      <c r="O77" s="4"/>
      <c r="P77" s="4"/>
      <c r="Q77" s="4"/>
      <c r="R77" s="4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4"/>
      <c r="O78" s="4"/>
      <c r="P78" s="4"/>
      <c r="Q78" s="4"/>
      <c r="R78" s="4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4"/>
      <c r="O79" s="4"/>
      <c r="P79" s="4"/>
      <c r="Q79" s="4"/>
      <c r="R79" s="4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4"/>
      <c r="O80" s="4"/>
      <c r="P80" s="4"/>
      <c r="Q80" s="4"/>
      <c r="R80" s="4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4"/>
      <c r="O81" s="4"/>
      <c r="P81" s="4"/>
      <c r="Q81" s="4"/>
      <c r="R81" s="4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4"/>
      <c r="O82" s="4"/>
      <c r="P82" s="4"/>
      <c r="Q82" s="4"/>
      <c r="R82" s="4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4"/>
      <c r="O83" s="4"/>
      <c r="P83" s="4"/>
      <c r="Q83" s="4"/>
      <c r="R83" s="4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4"/>
      <c r="O84" s="4"/>
      <c r="P84" s="4"/>
      <c r="Q84" s="4"/>
      <c r="R84" s="4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4"/>
      <c r="O85" s="4"/>
      <c r="P85" s="4"/>
      <c r="Q85" s="4"/>
      <c r="R85" s="4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4"/>
      <c r="O86" s="4"/>
      <c r="P86" s="4"/>
      <c r="Q86" s="4"/>
      <c r="R86" s="4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4"/>
      <c r="O87" s="4"/>
      <c r="P87" s="4"/>
      <c r="Q87" s="4"/>
      <c r="R87" s="4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4"/>
      <c r="O88" s="4"/>
      <c r="P88" s="4"/>
      <c r="Q88" s="4"/>
      <c r="R88" s="4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4"/>
      <c r="O89" s="4"/>
      <c r="P89" s="4"/>
      <c r="Q89" s="4"/>
      <c r="R89" s="4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4"/>
      <c r="O90" s="4"/>
      <c r="P90" s="4"/>
      <c r="Q90" s="4"/>
      <c r="R90" s="4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4"/>
      <c r="O91" s="4"/>
      <c r="P91" s="4"/>
      <c r="Q91" s="4"/>
      <c r="R91" s="4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4"/>
      <c r="O92" s="4"/>
      <c r="P92" s="4"/>
      <c r="Q92" s="4"/>
      <c r="R92" s="4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4"/>
      <c r="O93" s="4"/>
      <c r="P93" s="4"/>
      <c r="Q93" s="4"/>
      <c r="R93" s="4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4"/>
      <c r="O94" s="4"/>
      <c r="P94" s="4"/>
      <c r="Q94" s="4"/>
      <c r="R94" s="4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4"/>
      <c r="O95" s="4"/>
      <c r="P95" s="4"/>
      <c r="Q95" s="4"/>
      <c r="R95" s="4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4"/>
      <c r="O96" s="4"/>
      <c r="P96" s="4"/>
      <c r="Q96" s="4"/>
      <c r="R96" s="4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4"/>
      <c r="O97" s="4"/>
      <c r="P97" s="4"/>
      <c r="Q97" s="4"/>
      <c r="R97" s="4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4"/>
      <c r="O98" s="4"/>
      <c r="P98" s="4"/>
      <c r="Q98" s="4"/>
      <c r="R98" s="4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4"/>
      <c r="O99" s="4"/>
      <c r="P99" s="4"/>
      <c r="Q99" s="4"/>
      <c r="R99" s="4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4"/>
      <c r="O100" s="4"/>
      <c r="P100" s="4"/>
      <c r="Q100" s="4"/>
      <c r="R100" s="4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4"/>
      <c r="O101" s="4"/>
      <c r="P101" s="4"/>
      <c r="Q101" s="4"/>
      <c r="R101" s="4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4"/>
      <c r="O102" s="4"/>
      <c r="P102" s="4"/>
      <c r="Q102" s="4"/>
      <c r="R102" s="4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4"/>
      <c r="O103" s="4"/>
      <c r="P103" s="4"/>
      <c r="Q103" s="4"/>
      <c r="R103" s="4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4"/>
      <c r="O104" s="4"/>
      <c r="P104" s="4"/>
      <c r="Q104" s="4"/>
      <c r="R104" s="4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4"/>
      <c r="O105" s="4"/>
      <c r="P105" s="4"/>
      <c r="Q105" s="4"/>
      <c r="R105" s="4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4"/>
      <c r="O106" s="4"/>
      <c r="P106" s="4"/>
      <c r="Q106" s="4"/>
      <c r="R106" s="4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4"/>
      <c r="O107" s="4"/>
      <c r="P107" s="4"/>
      <c r="Q107" s="4"/>
      <c r="R107" s="4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4"/>
      <c r="O108" s="4"/>
      <c r="P108" s="4"/>
      <c r="Q108" s="4"/>
      <c r="R108" s="4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4"/>
      <c r="O109" s="4"/>
      <c r="P109" s="4"/>
      <c r="Q109" s="4"/>
      <c r="R109" s="4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4"/>
      <c r="O110" s="4"/>
      <c r="P110" s="4"/>
      <c r="Q110" s="4"/>
      <c r="R110" s="4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4"/>
      <c r="O111" s="4"/>
      <c r="P111" s="4"/>
      <c r="Q111" s="4"/>
      <c r="R111" s="4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4"/>
      <c r="O112" s="4"/>
      <c r="P112" s="4"/>
      <c r="Q112" s="4"/>
      <c r="R112" s="4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4"/>
      <c r="O113" s="4"/>
      <c r="P113" s="4"/>
      <c r="Q113" s="4"/>
      <c r="R113" s="4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4"/>
      <c r="O114" s="4"/>
      <c r="P114" s="4"/>
      <c r="Q114" s="4"/>
      <c r="R114" s="4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4"/>
      <c r="O115" s="4"/>
      <c r="P115" s="4"/>
      <c r="Q115" s="4"/>
      <c r="R115" s="4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4"/>
      <c r="O116" s="4"/>
      <c r="P116" s="4"/>
      <c r="Q116" s="4"/>
      <c r="R116" s="4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4"/>
      <c r="O117" s="4"/>
      <c r="P117" s="4"/>
      <c r="Q117" s="4"/>
      <c r="R117" s="4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4"/>
      <c r="O118" s="4"/>
      <c r="P118" s="4"/>
      <c r="Q118" s="4"/>
      <c r="R118" s="4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4"/>
      <c r="O119" s="4"/>
      <c r="P119" s="4"/>
      <c r="Q119" s="4"/>
      <c r="R119" s="4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4"/>
      <c r="O120" s="4"/>
      <c r="P120" s="4"/>
      <c r="Q120" s="4"/>
      <c r="R120" s="4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4"/>
      <c r="O121" s="4"/>
      <c r="P121" s="4"/>
      <c r="Q121" s="4"/>
      <c r="R121" s="4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4"/>
      <c r="O122" s="4"/>
      <c r="P122" s="4"/>
      <c r="Q122" s="4"/>
      <c r="R122" s="4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4"/>
      <c r="O123" s="4"/>
      <c r="P123" s="4"/>
      <c r="Q123" s="4"/>
      <c r="R123" s="4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4"/>
      <c r="O124" s="4"/>
      <c r="P124" s="4"/>
      <c r="Q124" s="4"/>
      <c r="R124" s="4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4"/>
      <c r="O125" s="4"/>
      <c r="P125" s="4"/>
      <c r="Q125" s="4"/>
      <c r="R125" s="4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4"/>
      <c r="O126" s="4"/>
      <c r="P126" s="4"/>
      <c r="Q126" s="4"/>
      <c r="R126" s="4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4"/>
      <c r="O127" s="4"/>
      <c r="P127" s="4"/>
      <c r="Q127" s="4"/>
      <c r="R127" s="4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4"/>
      <c r="O128" s="4"/>
      <c r="P128" s="4"/>
      <c r="Q128" s="4"/>
      <c r="R128" s="4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4"/>
      <c r="O129" s="4"/>
      <c r="P129" s="4"/>
      <c r="Q129" s="4"/>
      <c r="R129" s="4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4"/>
      <c r="O130" s="4"/>
      <c r="P130" s="4"/>
      <c r="Q130" s="4"/>
      <c r="R130" s="4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4"/>
      <c r="O131" s="4"/>
      <c r="P131" s="4"/>
      <c r="Q131" s="4"/>
      <c r="R131" s="4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4"/>
      <c r="O132" s="4"/>
      <c r="P132" s="4"/>
      <c r="Q132" s="4"/>
      <c r="R132" s="4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4"/>
      <c r="O133" s="4"/>
      <c r="P133" s="4"/>
      <c r="Q133" s="4"/>
      <c r="R133" s="4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4"/>
      <c r="O134" s="4"/>
      <c r="P134" s="4"/>
      <c r="Q134" s="4"/>
      <c r="R134" s="4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4"/>
      <c r="O135" s="4"/>
      <c r="P135" s="4"/>
      <c r="Q135" s="4"/>
      <c r="R135" s="4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4"/>
      <c r="O136" s="4"/>
      <c r="P136" s="4"/>
      <c r="Q136" s="4"/>
      <c r="R136" s="4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4"/>
      <c r="O137" s="4"/>
      <c r="P137" s="4"/>
      <c r="Q137" s="4"/>
      <c r="R137" s="4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4"/>
      <c r="O138" s="4"/>
      <c r="P138" s="4"/>
      <c r="Q138" s="4"/>
      <c r="R138" s="4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4"/>
      <c r="O139" s="4"/>
      <c r="P139" s="4"/>
      <c r="Q139" s="4"/>
      <c r="R139" s="4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4"/>
      <c r="O140" s="4"/>
      <c r="P140" s="4"/>
      <c r="Q140" s="4"/>
      <c r="R140" s="4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4"/>
      <c r="O141" s="4"/>
      <c r="P141" s="4"/>
      <c r="Q141" s="4"/>
      <c r="R141" s="4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4"/>
      <c r="O142" s="4"/>
      <c r="P142" s="4"/>
      <c r="Q142" s="4"/>
      <c r="R142" s="4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4"/>
      <c r="O143" s="4"/>
      <c r="P143" s="4"/>
      <c r="Q143" s="4"/>
      <c r="R143" s="4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4"/>
      <c r="O144" s="4"/>
      <c r="P144" s="4"/>
      <c r="Q144" s="4"/>
      <c r="R144" s="4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4"/>
      <c r="O145" s="4"/>
      <c r="P145" s="4"/>
      <c r="Q145" s="4"/>
      <c r="R145" s="4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4"/>
      <c r="O146" s="4"/>
      <c r="P146" s="4"/>
      <c r="Q146" s="4"/>
      <c r="R146" s="4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4"/>
      <c r="O147" s="4"/>
      <c r="P147" s="4"/>
      <c r="Q147" s="4"/>
      <c r="R147" s="4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4"/>
      <c r="O148" s="4"/>
      <c r="P148" s="4"/>
      <c r="Q148" s="4"/>
      <c r="R148" s="4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4"/>
      <c r="O149" s="4"/>
      <c r="P149" s="4"/>
      <c r="Q149" s="4"/>
      <c r="R149" s="4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4"/>
      <c r="O150" s="4"/>
      <c r="P150" s="4"/>
      <c r="Q150" s="4"/>
      <c r="R150" s="4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4"/>
      <c r="O151" s="4"/>
      <c r="P151" s="4"/>
      <c r="Q151" s="4"/>
      <c r="R151" s="4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4"/>
      <c r="O152" s="4"/>
      <c r="P152" s="4"/>
      <c r="Q152" s="4"/>
      <c r="R152" s="4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4"/>
      <c r="O153" s="4"/>
      <c r="P153" s="4"/>
      <c r="Q153" s="4"/>
      <c r="R153" s="4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4"/>
      <c r="O154" s="4"/>
      <c r="P154" s="4"/>
      <c r="Q154" s="4"/>
      <c r="R154" s="4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4"/>
      <c r="O155" s="4"/>
      <c r="P155" s="4"/>
      <c r="Q155" s="4"/>
      <c r="R155" s="4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4"/>
      <c r="O156" s="4"/>
      <c r="P156" s="4"/>
      <c r="Q156" s="4"/>
      <c r="R156" s="4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4"/>
      <c r="O157" s="4"/>
      <c r="P157" s="4"/>
      <c r="Q157" s="4"/>
      <c r="R157" s="4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4"/>
      <c r="O158" s="4"/>
      <c r="P158" s="4"/>
      <c r="Q158" s="4"/>
      <c r="R158" s="4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4"/>
      <c r="O159" s="4"/>
      <c r="P159" s="4"/>
      <c r="Q159" s="4"/>
      <c r="R159" s="4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4"/>
      <c r="O160" s="4"/>
      <c r="P160" s="4"/>
      <c r="Q160" s="4"/>
      <c r="R160" s="4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4"/>
      <c r="O161" s="4"/>
      <c r="P161" s="4"/>
      <c r="Q161" s="4"/>
      <c r="R161" s="4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4"/>
      <c r="O162" s="4"/>
      <c r="P162" s="4"/>
      <c r="Q162" s="4"/>
      <c r="R162" s="4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4"/>
      <c r="O163" s="4"/>
      <c r="P163" s="4"/>
      <c r="Q163" s="4"/>
      <c r="R163" s="4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4"/>
      <c r="O164" s="4"/>
      <c r="P164" s="4"/>
      <c r="Q164" s="4"/>
      <c r="R164" s="4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4"/>
      <c r="O165" s="4"/>
      <c r="P165" s="4"/>
      <c r="Q165" s="4"/>
      <c r="R165" s="4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4"/>
      <c r="O166" s="4"/>
      <c r="P166" s="4"/>
      <c r="Q166" s="4"/>
      <c r="R166" s="4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4"/>
      <c r="O167" s="4"/>
      <c r="P167" s="4"/>
      <c r="Q167" s="4"/>
      <c r="R167" s="4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4"/>
      <c r="O168" s="4"/>
      <c r="P168" s="4"/>
      <c r="Q168" s="4"/>
      <c r="R168" s="4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4"/>
      <c r="O169" s="4"/>
      <c r="P169" s="4"/>
      <c r="Q169" s="4"/>
      <c r="R169" s="4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4"/>
      <c r="O170" s="4"/>
      <c r="P170" s="4"/>
      <c r="Q170" s="4"/>
      <c r="R170" s="4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4"/>
      <c r="O171" s="4"/>
      <c r="P171" s="4"/>
      <c r="Q171" s="4"/>
      <c r="R171" s="4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4"/>
      <c r="O172" s="4"/>
      <c r="P172" s="4"/>
      <c r="Q172" s="4"/>
      <c r="R172" s="4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4"/>
      <c r="O173" s="4"/>
      <c r="P173" s="4"/>
      <c r="Q173" s="4"/>
      <c r="R173" s="4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4"/>
      <c r="O174" s="4"/>
      <c r="P174" s="4"/>
      <c r="Q174" s="4"/>
      <c r="R174" s="4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4"/>
      <c r="O175" s="4"/>
      <c r="P175" s="4"/>
      <c r="Q175" s="4"/>
      <c r="R175" s="4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4"/>
      <c r="O176" s="4"/>
      <c r="P176" s="4"/>
      <c r="Q176" s="4"/>
      <c r="R176" s="4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4"/>
      <c r="O177" s="4"/>
      <c r="P177" s="4"/>
      <c r="Q177" s="4"/>
      <c r="R177" s="4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4"/>
      <c r="O178" s="4"/>
      <c r="P178" s="4"/>
      <c r="Q178" s="4"/>
      <c r="R178" s="4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4"/>
      <c r="O179" s="4"/>
      <c r="P179" s="4"/>
      <c r="Q179" s="4"/>
      <c r="R179" s="4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4"/>
      <c r="O180" s="4"/>
      <c r="P180" s="4"/>
      <c r="Q180" s="4"/>
      <c r="R180" s="4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4"/>
      <c r="O181" s="4"/>
      <c r="P181" s="4"/>
      <c r="Q181" s="4"/>
      <c r="R181" s="4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4"/>
      <c r="O182" s="4"/>
      <c r="P182" s="4"/>
      <c r="Q182" s="4"/>
      <c r="R182" s="4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4"/>
      <c r="O183" s="4"/>
      <c r="P183" s="4"/>
      <c r="Q183" s="4"/>
      <c r="R183" s="4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4"/>
      <c r="O184" s="4"/>
      <c r="P184" s="4"/>
      <c r="Q184" s="4"/>
      <c r="R184" s="4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4"/>
      <c r="O185" s="4"/>
      <c r="P185" s="4"/>
      <c r="Q185" s="4"/>
      <c r="R185" s="4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4"/>
      <c r="O186" s="4"/>
      <c r="P186" s="4"/>
      <c r="Q186" s="4"/>
      <c r="R186" s="4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4"/>
      <c r="O187" s="4"/>
      <c r="P187" s="4"/>
      <c r="Q187" s="4"/>
      <c r="R187" s="4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4"/>
      <c r="O188" s="4"/>
      <c r="P188" s="4"/>
      <c r="Q188" s="4"/>
      <c r="R188" s="4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4"/>
      <c r="O189" s="4"/>
      <c r="P189" s="4"/>
      <c r="Q189" s="4"/>
      <c r="R189" s="4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4"/>
      <c r="O190" s="4"/>
      <c r="P190" s="4"/>
      <c r="Q190" s="4"/>
      <c r="R190" s="4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4"/>
      <c r="O191" s="4"/>
      <c r="P191" s="4"/>
      <c r="Q191" s="4"/>
      <c r="R191" s="4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4"/>
      <c r="O192" s="4"/>
      <c r="P192" s="4"/>
      <c r="Q192" s="4"/>
      <c r="R192" s="4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4"/>
      <c r="O193" s="4"/>
      <c r="P193" s="4"/>
      <c r="Q193" s="4"/>
      <c r="R193" s="4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4"/>
      <c r="O194" s="4"/>
      <c r="P194" s="4"/>
      <c r="Q194" s="4"/>
      <c r="R194" s="4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4"/>
      <c r="O195" s="4"/>
      <c r="P195" s="4"/>
      <c r="Q195" s="4"/>
      <c r="R195" s="4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4"/>
      <c r="O196" s="4"/>
      <c r="P196" s="4"/>
      <c r="Q196" s="4"/>
      <c r="R196" s="4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4"/>
      <c r="O197" s="4"/>
      <c r="P197" s="4"/>
      <c r="Q197" s="4"/>
      <c r="R197" s="4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4"/>
      <c r="O198" s="4"/>
      <c r="P198" s="4"/>
      <c r="Q198" s="4"/>
      <c r="R198" s="4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4"/>
      <c r="O199" s="4"/>
      <c r="P199" s="4"/>
      <c r="Q199" s="4"/>
      <c r="R199" s="4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4"/>
      <c r="O200" s="4"/>
      <c r="P200" s="4"/>
      <c r="Q200" s="4"/>
      <c r="R200" s="4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4"/>
      <c r="O201" s="4"/>
      <c r="P201" s="4"/>
      <c r="Q201" s="4"/>
      <c r="R201" s="4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4"/>
      <c r="O202" s="4"/>
      <c r="P202" s="4"/>
      <c r="Q202" s="4"/>
      <c r="R202" s="4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4"/>
      <c r="O203" s="4"/>
      <c r="P203" s="4"/>
      <c r="Q203" s="4"/>
      <c r="R203" s="4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4"/>
      <c r="O204" s="4"/>
      <c r="P204" s="4"/>
      <c r="Q204" s="4"/>
      <c r="R204" s="4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4"/>
      <c r="O205" s="4"/>
      <c r="P205" s="4"/>
      <c r="Q205" s="4"/>
      <c r="R205" s="4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4"/>
      <c r="O206" s="4"/>
      <c r="P206" s="4"/>
      <c r="Q206" s="4"/>
      <c r="R206" s="4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4"/>
      <c r="O207" s="4"/>
      <c r="P207" s="4"/>
      <c r="Q207" s="4"/>
      <c r="R207" s="4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4"/>
      <c r="O208" s="4"/>
      <c r="P208" s="4"/>
      <c r="Q208" s="4"/>
      <c r="R208" s="4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4"/>
      <c r="O209" s="4"/>
      <c r="P209" s="4"/>
      <c r="Q209" s="4"/>
      <c r="R209" s="4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4"/>
      <c r="O210" s="4"/>
      <c r="P210" s="4"/>
      <c r="Q210" s="4"/>
      <c r="R210" s="4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4"/>
      <c r="O211" s="4"/>
      <c r="P211" s="4"/>
      <c r="Q211" s="4"/>
      <c r="R211" s="4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4"/>
      <c r="O212" s="4"/>
      <c r="P212" s="4"/>
      <c r="Q212" s="4"/>
      <c r="R212" s="4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4"/>
      <c r="O213" s="4"/>
      <c r="P213" s="4"/>
      <c r="Q213" s="4"/>
      <c r="R213" s="4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4"/>
      <c r="O214" s="4"/>
      <c r="P214" s="4"/>
      <c r="Q214" s="4"/>
      <c r="R214" s="4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4"/>
      <c r="O215" s="4"/>
      <c r="P215" s="4"/>
      <c r="Q215" s="4"/>
      <c r="R215" s="4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4"/>
      <c r="O216" s="4"/>
      <c r="P216" s="4"/>
      <c r="Q216" s="4"/>
      <c r="R216" s="4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4"/>
      <c r="O217" s="4"/>
      <c r="P217" s="4"/>
      <c r="Q217" s="4"/>
      <c r="R217" s="4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4"/>
      <c r="O218" s="4"/>
      <c r="P218" s="4"/>
      <c r="Q218" s="4"/>
      <c r="R218" s="4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4"/>
      <c r="O219" s="4"/>
      <c r="P219" s="4"/>
      <c r="Q219" s="4"/>
      <c r="R219" s="4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</sheetData>
  <mergeCells count="8">
    <mergeCell ref="B1:AG1"/>
    <mergeCell ref="B3:M3"/>
    <mergeCell ref="E4:M4"/>
    <mergeCell ref="E5:F5"/>
    <mergeCell ref="G5:H5"/>
    <mergeCell ref="I5:J5"/>
    <mergeCell ref="K5:L5"/>
    <mergeCell ref="M5:M6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4.86"/>
    <col customWidth="1" min="3" max="3" width="39.29"/>
    <col customWidth="1" min="4" max="4" width="46.0"/>
    <col customWidth="1" min="5" max="5" width="39.57"/>
    <col customWidth="1" min="6" max="6" width="18.29"/>
    <col customWidth="1" min="7" max="7" width="15.57"/>
    <col customWidth="1" min="8" max="8" width="16.14"/>
    <col customWidth="1" min="9" max="9" width="18.0"/>
    <col customWidth="1" min="10" max="10" width="11.43"/>
    <col customWidth="1" min="11" max="11" width="13.43"/>
    <col customWidth="1" min="12" max="29" width="11.43"/>
  </cols>
  <sheetData>
    <row r="1" ht="14.25" customHeight="1">
      <c r="A1" s="4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5"/>
    </row>
    <row r="2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ht="14.25" customHeight="1">
      <c r="A3" s="4"/>
      <c r="B3" s="11" t="s">
        <v>13</v>
      </c>
      <c r="C3" s="3"/>
      <c r="D3" s="3"/>
      <c r="E3" s="3"/>
      <c r="F3" s="3"/>
      <c r="G3" s="3"/>
      <c r="H3" s="3"/>
      <c r="I3" s="5"/>
      <c r="J3" s="4"/>
      <c r="K3" s="4"/>
      <c r="L3" s="4"/>
      <c r="M3" s="4"/>
      <c r="N3" s="4"/>
      <c r="O3" s="4"/>
      <c r="P3" s="4"/>
      <c r="Q3" s="4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30.75" customHeight="1">
      <c r="A4" s="4"/>
      <c r="B4" s="31" t="s">
        <v>3</v>
      </c>
      <c r="C4" s="31" t="s">
        <v>22</v>
      </c>
      <c r="D4" s="36" t="s">
        <v>24</v>
      </c>
      <c r="E4" s="38" t="s">
        <v>28</v>
      </c>
      <c r="F4" s="40" t="s">
        <v>30</v>
      </c>
      <c r="G4" s="42" t="s">
        <v>32</v>
      </c>
      <c r="H4" s="21"/>
      <c r="I4" s="48" t="str">
        <f>I4</f>
        <v>#REF!</v>
      </c>
      <c r="J4" s="4"/>
      <c r="K4" s="4"/>
      <c r="L4" s="4"/>
      <c r="M4" s="4"/>
      <c r="N4" s="4"/>
      <c r="O4" s="4"/>
      <c r="P4" s="4"/>
      <c r="Q4" s="4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14.25" customHeight="1">
      <c r="A5" s="4"/>
      <c r="B5" s="56"/>
      <c r="C5" s="56"/>
      <c r="D5" s="59"/>
      <c r="E5" s="56"/>
      <c r="F5" s="56"/>
      <c r="G5" s="62" t="s">
        <v>44</v>
      </c>
      <c r="H5" s="16" t="s">
        <v>45</v>
      </c>
      <c r="I5" s="56"/>
      <c r="J5" s="4"/>
      <c r="K5" s="4"/>
      <c r="L5" s="4"/>
      <c r="M5" s="4"/>
      <c r="N5" s="4"/>
      <c r="O5" s="4"/>
      <c r="P5" s="4"/>
      <c r="Q5" s="4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ht="14.25" customHeight="1">
      <c r="A6" s="4"/>
      <c r="B6" s="65">
        <v>1.0</v>
      </c>
      <c r="C6" s="67" t="s">
        <v>47</v>
      </c>
      <c r="D6" s="67" t="s">
        <v>49</v>
      </c>
      <c r="E6" s="67" t="s">
        <v>48</v>
      </c>
      <c r="F6" s="69"/>
      <c r="G6" s="67"/>
      <c r="H6" s="71"/>
      <c r="I6" s="83">
        <f t="shared" ref="I6:I24" si="1">F6+G6+H6</f>
        <v>0</v>
      </c>
      <c r="J6" s="4"/>
      <c r="K6" s="4"/>
      <c r="L6" s="4"/>
      <c r="M6" s="4"/>
      <c r="N6" s="4"/>
      <c r="O6" s="4"/>
      <c r="P6" s="4"/>
      <c r="Q6" s="4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ht="14.25" customHeight="1">
      <c r="A7" s="4"/>
      <c r="B7" s="65">
        <v>2.0</v>
      </c>
      <c r="C7" s="67" t="s">
        <v>56</v>
      </c>
      <c r="D7" s="88" t="s">
        <v>57</v>
      </c>
      <c r="E7" s="67" t="s">
        <v>48</v>
      </c>
      <c r="F7" s="69"/>
      <c r="G7" s="67"/>
      <c r="H7" s="71"/>
      <c r="I7" s="83">
        <f t="shared" si="1"/>
        <v>0</v>
      </c>
      <c r="J7" s="4"/>
      <c r="K7" s="4"/>
      <c r="L7" s="4"/>
      <c r="M7" s="4"/>
      <c r="N7" s="4"/>
      <c r="O7" s="4"/>
      <c r="P7" s="4"/>
      <c r="Q7" s="4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ht="14.25" customHeight="1">
      <c r="A8" s="4"/>
      <c r="B8" s="65">
        <v>3.0</v>
      </c>
      <c r="C8" s="67" t="s">
        <v>60</v>
      </c>
      <c r="D8" s="88" t="s">
        <v>62</v>
      </c>
      <c r="E8" s="67" t="s">
        <v>48</v>
      </c>
      <c r="F8" s="69"/>
      <c r="G8" s="67"/>
      <c r="H8" s="71"/>
      <c r="I8" s="83">
        <f t="shared" si="1"/>
        <v>0</v>
      </c>
      <c r="J8" s="4"/>
      <c r="K8" s="4"/>
      <c r="L8" s="4"/>
      <c r="M8" s="4"/>
      <c r="N8" s="4"/>
      <c r="O8" s="4"/>
      <c r="P8" s="4"/>
      <c r="Q8" s="4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ht="14.25" customHeight="1">
      <c r="A9" s="4"/>
      <c r="B9" s="65">
        <v>4.0</v>
      </c>
      <c r="C9" s="67" t="s">
        <v>64</v>
      </c>
      <c r="D9" s="88" t="s">
        <v>65</v>
      </c>
      <c r="E9" s="67" t="s">
        <v>48</v>
      </c>
      <c r="F9" s="69"/>
      <c r="G9" s="67"/>
      <c r="H9" s="71"/>
      <c r="I9" s="83">
        <f t="shared" si="1"/>
        <v>0</v>
      </c>
      <c r="J9" s="4"/>
      <c r="K9" s="4"/>
      <c r="L9" s="4"/>
      <c r="M9" s="4"/>
      <c r="N9" s="4"/>
      <c r="O9" s="4"/>
      <c r="P9" s="4"/>
      <c r="Q9" s="4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ht="14.25" customHeight="1">
      <c r="A10" s="4"/>
      <c r="B10" s="65">
        <v>5.0</v>
      </c>
      <c r="C10" s="67" t="s">
        <v>68</v>
      </c>
      <c r="D10" s="88" t="s">
        <v>69</v>
      </c>
      <c r="E10" s="67" t="s">
        <v>70</v>
      </c>
      <c r="F10" s="69"/>
      <c r="G10" s="117">
        <f>('Aporte Participantes Programa'!E$14/2+'Aporte Participantes Programa'!E$8)/3</f>
        <v>0</v>
      </c>
      <c r="H10" s="71">
        <f>('Aporte Participantes Programa'!F$8+'Aporte Participantes Programa'!F$14/2)/3</f>
        <v>37500000</v>
      </c>
      <c r="I10" s="83">
        <f t="shared" si="1"/>
        <v>37500000</v>
      </c>
      <c r="J10" s="4"/>
      <c r="K10" s="4"/>
      <c r="L10" s="4"/>
      <c r="M10" s="4"/>
      <c r="N10" s="4"/>
      <c r="O10" s="4"/>
      <c r="P10" s="4"/>
      <c r="Q10" s="4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ht="14.25" customHeight="1">
      <c r="A11" s="4"/>
      <c r="B11" s="65">
        <v>6.0</v>
      </c>
      <c r="C11" s="67" t="s">
        <v>82</v>
      </c>
      <c r="D11" s="88" t="s">
        <v>83</v>
      </c>
      <c r="E11" s="67" t="s">
        <v>70</v>
      </c>
      <c r="F11" s="69"/>
      <c r="G11" s="117">
        <f>('Aporte Participantes Programa'!E$14/2+'Aporte Participantes Programa'!E$8)/3</f>
        <v>0</v>
      </c>
      <c r="H11" s="71">
        <f>('Aporte Participantes Programa'!F$8+'Aporte Participantes Programa'!F$14/2)/3</f>
        <v>37500000</v>
      </c>
      <c r="I11" s="83">
        <f t="shared" si="1"/>
        <v>37500000</v>
      </c>
      <c r="J11" s="4"/>
      <c r="K11" s="4"/>
      <c r="L11" s="4"/>
      <c r="M11" s="4"/>
      <c r="N11" s="4"/>
      <c r="O11" s="4"/>
      <c r="P11" s="4"/>
      <c r="Q11" s="4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ht="14.25" customHeight="1">
      <c r="A12" s="4"/>
      <c r="B12" s="65">
        <v>7.0</v>
      </c>
      <c r="C12" s="67" t="s">
        <v>88</v>
      </c>
      <c r="D12" s="88" t="s">
        <v>83</v>
      </c>
      <c r="E12" s="67" t="s">
        <v>70</v>
      </c>
      <c r="F12" s="69"/>
      <c r="G12" s="117">
        <f>('Aporte Participantes Programa'!E$14/2+'Aporte Participantes Programa'!E$8)/3</f>
        <v>0</v>
      </c>
      <c r="H12" s="71">
        <f>('Aporte Participantes Programa'!F$8+'Aporte Participantes Programa'!F$14/2)/3</f>
        <v>37500000</v>
      </c>
      <c r="I12" s="83">
        <f t="shared" si="1"/>
        <v>37500000</v>
      </c>
      <c r="J12" s="4"/>
      <c r="K12" s="4"/>
      <c r="L12" s="4"/>
      <c r="M12" s="4"/>
      <c r="N12" s="4"/>
      <c r="O12" s="4"/>
      <c r="P12" s="4"/>
      <c r="Q12" s="4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ht="14.25" customHeight="1">
      <c r="A13" s="4"/>
      <c r="B13" s="65">
        <v>8.0</v>
      </c>
      <c r="C13" s="67" t="s">
        <v>93</v>
      </c>
      <c r="D13" s="88" t="s">
        <v>94</v>
      </c>
      <c r="E13" s="67" t="s">
        <v>95</v>
      </c>
      <c r="F13" s="69"/>
      <c r="G13" s="117">
        <f>('Aporte Participantes Programa'!E$13/2+'Aporte Participantes Programa'!E$10)/2</f>
        <v>20000000</v>
      </c>
      <c r="H13" s="71">
        <f>('Aporte Participantes Programa'!F$14/2+'Aporte Participantes Programa'!F$9)/2</f>
        <v>56750000</v>
      </c>
      <c r="I13" s="83">
        <f t="shared" si="1"/>
        <v>76750000</v>
      </c>
      <c r="J13" s="4"/>
      <c r="K13" s="4"/>
      <c r="L13" s="4"/>
      <c r="M13" s="4"/>
      <c r="N13" s="4"/>
      <c r="O13" s="4"/>
      <c r="P13" s="4"/>
      <c r="Q13" s="4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ht="14.25" customHeight="1">
      <c r="A14" s="4"/>
      <c r="B14" s="65">
        <v>9.0</v>
      </c>
      <c r="C14" s="67" t="s">
        <v>99</v>
      </c>
      <c r="D14" s="88" t="s">
        <v>94</v>
      </c>
      <c r="E14" s="67" t="s">
        <v>95</v>
      </c>
      <c r="F14" s="69"/>
      <c r="G14" s="117">
        <f>('Aporte Participantes Programa'!E$13/2+'Aporte Participantes Programa'!E$10)/2</f>
        <v>20000000</v>
      </c>
      <c r="H14" s="71">
        <f>('Aporte Participantes Programa'!F$14/2+'Aporte Participantes Programa'!F$9)/2</f>
        <v>56750000</v>
      </c>
      <c r="I14" s="83">
        <f t="shared" si="1"/>
        <v>76750000</v>
      </c>
      <c r="J14" s="4"/>
      <c r="K14" s="4"/>
      <c r="L14" s="4"/>
      <c r="M14" s="4"/>
      <c r="N14" s="4"/>
      <c r="O14" s="4"/>
      <c r="P14" s="4"/>
      <c r="Q14" s="4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ht="14.25" customHeight="1">
      <c r="A15" s="4"/>
      <c r="B15" s="65">
        <v>10.0</v>
      </c>
      <c r="C15" s="67" t="s">
        <v>100</v>
      </c>
      <c r="D15" s="88" t="s">
        <v>101</v>
      </c>
      <c r="E15" s="67" t="s">
        <v>102</v>
      </c>
      <c r="F15" s="69"/>
      <c r="G15" s="117">
        <f>('Aporte Participantes Programa'!E$10+'Aporte Participantes Programa'!E$13)/2</f>
        <v>20000000</v>
      </c>
      <c r="H15" s="71">
        <f>('Aporte Participantes Programa'!F$10+'Aporte Participantes Programa'!F$13)/2</f>
        <v>64500000</v>
      </c>
      <c r="I15" s="83">
        <f t="shared" si="1"/>
        <v>84500000</v>
      </c>
      <c r="J15" s="4"/>
      <c r="K15" s="4"/>
      <c r="L15" s="4"/>
      <c r="M15" s="4"/>
      <c r="N15" s="4"/>
      <c r="O15" s="4"/>
      <c r="P15" s="4"/>
      <c r="Q15" s="4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ht="14.25" customHeight="1">
      <c r="A16" s="4"/>
      <c r="B16" s="65">
        <v>11.0</v>
      </c>
      <c r="C16" s="67" t="s">
        <v>103</v>
      </c>
      <c r="D16" s="88" t="s">
        <v>101</v>
      </c>
      <c r="E16" s="67" t="s">
        <v>102</v>
      </c>
      <c r="F16" s="69"/>
      <c r="G16" s="117">
        <f>('Aporte Participantes Programa'!E$10+'Aporte Participantes Programa'!E$13)/2</f>
        <v>20000000</v>
      </c>
      <c r="H16" s="71">
        <f>('Aporte Participantes Programa'!F$10+'Aporte Participantes Programa'!F$13)/2</f>
        <v>64500000</v>
      </c>
      <c r="I16" s="83">
        <f t="shared" si="1"/>
        <v>84500000</v>
      </c>
      <c r="J16" s="4"/>
      <c r="K16" s="4"/>
      <c r="L16" s="4"/>
      <c r="M16" s="4"/>
      <c r="N16" s="4"/>
      <c r="O16" s="4"/>
      <c r="P16" s="4"/>
      <c r="Q16" s="4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ht="14.25" customHeight="1">
      <c r="A17" s="4"/>
      <c r="B17" s="65">
        <v>12.0</v>
      </c>
      <c r="C17" s="67" t="s">
        <v>104</v>
      </c>
      <c r="D17" s="88" t="s">
        <v>105</v>
      </c>
      <c r="E17" s="67" t="s">
        <v>106</v>
      </c>
      <c r="F17" s="69"/>
      <c r="G17" s="117">
        <f>'Aporte Participantes Programa'!E$11/2</f>
        <v>20000000</v>
      </c>
      <c r="H17" s="71">
        <f>'Aporte Participantes Programa'!F$11/2</f>
        <v>50000000</v>
      </c>
      <c r="I17" s="83">
        <f t="shared" si="1"/>
        <v>70000000</v>
      </c>
      <c r="J17" s="4"/>
      <c r="K17" s="4"/>
      <c r="L17" s="4"/>
      <c r="M17" s="4"/>
      <c r="N17" s="4"/>
      <c r="O17" s="4"/>
      <c r="P17" s="4"/>
      <c r="Q17" s="4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ht="14.25" customHeight="1">
      <c r="A18" s="4"/>
      <c r="B18" s="65">
        <v>13.0</v>
      </c>
      <c r="C18" s="67" t="s">
        <v>108</v>
      </c>
      <c r="D18" s="88" t="s">
        <v>105</v>
      </c>
      <c r="E18" s="67" t="s">
        <v>106</v>
      </c>
      <c r="F18" s="69"/>
      <c r="G18" s="117">
        <f>'Aporte Participantes Programa'!E$11/2</f>
        <v>20000000</v>
      </c>
      <c r="H18" s="71">
        <f>'Aporte Participantes Programa'!F$11/2</f>
        <v>50000000</v>
      </c>
      <c r="I18" s="83">
        <f t="shared" si="1"/>
        <v>70000000</v>
      </c>
      <c r="J18" s="4"/>
      <c r="K18" s="4"/>
      <c r="L18" s="4"/>
      <c r="M18" s="4"/>
      <c r="N18" s="4"/>
      <c r="O18" s="4"/>
      <c r="P18" s="4"/>
      <c r="Q18" s="4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ht="14.25" customHeight="1">
      <c r="A19" s="4"/>
      <c r="B19" s="65">
        <v>14.0</v>
      </c>
      <c r="C19" s="67" t="s">
        <v>109</v>
      </c>
      <c r="D19" s="88" t="s">
        <v>110</v>
      </c>
      <c r="E19" s="67" t="s">
        <v>111</v>
      </c>
      <c r="F19" s="69"/>
      <c r="G19" s="117">
        <f>'Aporte Participantes Programa'!E$12/2</f>
        <v>20000000</v>
      </c>
      <c r="H19" s="71">
        <f>'Aporte Participantes Programa'!F$12/2</f>
        <v>50000000</v>
      </c>
      <c r="I19" s="83">
        <f t="shared" si="1"/>
        <v>70000000</v>
      </c>
      <c r="J19" s="4"/>
      <c r="K19" s="4"/>
      <c r="L19" s="4"/>
      <c r="M19" s="4"/>
      <c r="N19" s="4"/>
      <c r="O19" s="4"/>
      <c r="P19" s="4"/>
      <c r="Q19" s="4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ht="14.25" customHeight="1">
      <c r="A20" s="4"/>
      <c r="B20" s="65">
        <v>15.0</v>
      </c>
      <c r="C20" s="67" t="s">
        <v>113</v>
      </c>
      <c r="D20" s="88" t="s">
        <v>110</v>
      </c>
      <c r="E20" s="67" t="s">
        <v>111</v>
      </c>
      <c r="F20" s="69"/>
      <c r="G20" s="117">
        <f>'Aporte Participantes Programa'!E$12/2</f>
        <v>20000000</v>
      </c>
      <c r="H20" s="71">
        <f>'Aporte Participantes Programa'!F$12/2</f>
        <v>50000000</v>
      </c>
      <c r="I20" s="83">
        <f t="shared" si="1"/>
        <v>70000000</v>
      </c>
      <c r="J20" s="4"/>
      <c r="K20" s="4"/>
      <c r="L20" s="4"/>
      <c r="M20" s="4"/>
      <c r="N20" s="4"/>
      <c r="O20" s="4"/>
      <c r="P20" s="4"/>
      <c r="Q20" s="4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ht="14.25" customHeight="1">
      <c r="A21" s="4"/>
      <c r="B21" s="65"/>
      <c r="C21" s="67"/>
      <c r="D21" s="88"/>
      <c r="E21" s="67"/>
      <c r="F21" s="69"/>
      <c r="G21" s="117"/>
      <c r="H21" s="71"/>
      <c r="I21" s="83">
        <f t="shared" si="1"/>
        <v>0</v>
      </c>
      <c r="J21" s="4"/>
      <c r="K21" s="4"/>
      <c r="L21" s="4"/>
      <c r="M21" s="4"/>
      <c r="N21" s="4"/>
      <c r="O21" s="4"/>
      <c r="P21" s="4"/>
      <c r="Q21" s="4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ht="14.25" customHeight="1">
      <c r="A22" s="4"/>
      <c r="B22" s="168"/>
      <c r="C22" s="170"/>
      <c r="D22" s="170"/>
      <c r="E22" s="171"/>
      <c r="F22" s="172"/>
      <c r="G22" s="170"/>
      <c r="H22" s="172"/>
      <c r="I22" s="83">
        <f t="shared" si="1"/>
        <v>0</v>
      </c>
      <c r="J22" s="4"/>
      <c r="K22" s="174"/>
      <c r="L22" s="4"/>
      <c r="M22" s="4"/>
      <c r="N22" s="4"/>
      <c r="O22" s="4"/>
      <c r="P22" s="4"/>
      <c r="Q22" s="4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ht="14.25" customHeight="1">
      <c r="A23" s="4"/>
      <c r="B23" s="177"/>
      <c r="C23" s="178"/>
      <c r="D23" s="178"/>
      <c r="E23" s="178"/>
      <c r="F23" s="179"/>
      <c r="G23" s="178"/>
      <c r="H23" s="179"/>
      <c r="I23" s="83">
        <f t="shared" si="1"/>
        <v>0</v>
      </c>
      <c r="J23" s="4"/>
      <c r="K23" s="4"/>
      <c r="L23" s="4"/>
      <c r="M23" s="4"/>
      <c r="N23" s="4"/>
      <c r="O23" s="4"/>
      <c r="P23" s="4"/>
      <c r="Q23" s="4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ht="14.25" customHeight="1">
      <c r="A24" s="4"/>
      <c r="B24" s="182" t="s">
        <v>33</v>
      </c>
      <c r="C24" s="23"/>
      <c r="D24" s="23"/>
      <c r="E24" s="26"/>
      <c r="F24" s="184">
        <f t="shared" ref="F24:H24" si="2">SUM(F6:F23)</f>
        <v>0</v>
      </c>
      <c r="G24" s="185">
        <f t="shared" si="2"/>
        <v>160000000</v>
      </c>
      <c r="H24" s="185">
        <f t="shared" si="2"/>
        <v>555000000</v>
      </c>
      <c r="I24" s="83">
        <f t="shared" si="1"/>
        <v>715000000</v>
      </c>
      <c r="J24" s="4"/>
      <c r="K24" s="4"/>
      <c r="L24" s="4"/>
      <c r="M24" s="4"/>
      <c r="N24" s="4"/>
      <c r="O24" s="4"/>
      <c r="P24" s="4"/>
      <c r="Q24" s="4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ht="14.25" customHeight="1">
      <c r="A25" s="4"/>
      <c r="B25" s="186"/>
      <c r="C25" s="186"/>
      <c r="D25" s="186"/>
      <c r="E25" s="186"/>
      <c r="F25" s="187">
        <v>6.0E8</v>
      </c>
      <c r="G25" s="188">
        <f>'Aporte Participantes Programa'!E16</f>
        <v>760000000</v>
      </c>
      <c r="H25" s="188">
        <f>'Aporte Participantes Programa'!F16</f>
        <v>655000000</v>
      </c>
      <c r="I25" s="186"/>
      <c r="J25" s="4"/>
      <c r="K25" s="4"/>
      <c r="L25" s="4"/>
      <c r="M25" s="4"/>
      <c r="N25" s="4"/>
      <c r="O25" s="4"/>
      <c r="P25" s="4"/>
      <c r="Q25" s="4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ht="14.25" customHeight="1">
      <c r="A26" s="4"/>
      <c r="B26" s="186"/>
      <c r="C26" s="186"/>
      <c r="D26" s="186"/>
      <c r="E26" s="186"/>
      <c r="F26" s="189"/>
      <c r="G26" s="189"/>
      <c r="H26" s="189"/>
      <c r="I26" s="186"/>
      <c r="J26" s="4"/>
      <c r="K26" s="4"/>
      <c r="L26" s="4"/>
      <c r="M26" s="4"/>
      <c r="N26" s="4"/>
      <c r="O26" s="4"/>
      <c r="P26" s="4"/>
      <c r="Q26" s="4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ht="14.25" customHeight="1">
      <c r="A27" s="4"/>
      <c r="B27" s="186"/>
      <c r="C27" s="186"/>
      <c r="D27" s="186"/>
      <c r="E27" s="186"/>
      <c r="F27" s="189"/>
      <c r="G27" s="189"/>
      <c r="H27" s="189"/>
      <c r="I27" s="186"/>
      <c r="J27" s="4"/>
      <c r="K27" s="4"/>
      <c r="L27" s="4"/>
      <c r="M27" s="4"/>
      <c r="N27" s="4"/>
      <c r="O27" s="4"/>
      <c r="P27" s="4"/>
      <c r="Q27" s="4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ht="14.25" customHeight="1">
      <c r="A28" s="4"/>
      <c r="B28" s="190" t="s">
        <v>116</v>
      </c>
      <c r="C28" s="3"/>
      <c r="D28" s="3"/>
      <c r="E28" s="3"/>
      <c r="F28" s="3"/>
      <c r="G28" s="3"/>
      <c r="H28" s="3"/>
      <c r="I28" s="5"/>
      <c r="J28" s="4"/>
      <c r="K28" s="4"/>
      <c r="L28" s="4"/>
      <c r="M28" s="4"/>
      <c r="N28" s="4"/>
      <c r="O28" s="4"/>
      <c r="P28" s="4"/>
      <c r="Q28" s="4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ht="26.25" customHeight="1">
      <c r="A29" s="4"/>
      <c r="B29" s="192" t="s">
        <v>117</v>
      </c>
      <c r="C29" s="3"/>
      <c r="D29" s="3"/>
      <c r="E29" s="3"/>
      <c r="F29" s="3"/>
      <c r="G29" s="3"/>
      <c r="H29" s="3"/>
      <c r="I29" s="5"/>
      <c r="J29" s="4"/>
      <c r="K29" s="4"/>
      <c r="L29" s="4"/>
      <c r="M29" s="4"/>
      <c r="N29" s="4"/>
      <c r="O29" s="4"/>
      <c r="P29" s="4"/>
      <c r="Q29" s="4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ht="42.75" customHeight="1">
      <c r="A30" s="4"/>
      <c r="B30" s="196"/>
      <c r="C30" s="192" t="s">
        <v>118</v>
      </c>
      <c r="D30" s="3"/>
      <c r="E30" s="3"/>
      <c r="F30" s="3"/>
      <c r="G30" s="3"/>
      <c r="H30" s="3"/>
      <c r="I30" s="5"/>
      <c r="J30" s="4"/>
      <c r="K30" s="4"/>
      <c r="L30" s="4"/>
      <c r="M30" s="4"/>
      <c r="N30" s="4"/>
      <c r="O30" s="4"/>
      <c r="P30" s="4"/>
      <c r="Q30" s="4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ht="35.25" customHeight="1">
      <c r="A31" s="4"/>
      <c r="B31" s="196"/>
      <c r="C31" s="192" t="s">
        <v>119</v>
      </c>
      <c r="D31" s="3"/>
      <c r="E31" s="3"/>
      <c r="F31" s="3"/>
      <c r="G31" s="3"/>
      <c r="H31" s="3"/>
      <c r="I31" s="5"/>
      <c r="J31" s="4"/>
      <c r="K31" s="4"/>
      <c r="L31" s="4"/>
      <c r="M31" s="4"/>
      <c r="N31" s="4"/>
      <c r="O31" s="4"/>
      <c r="P31" s="4"/>
      <c r="Q31" s="4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4"/>
      <c r="K41" s="4"/>
      <c r="L41" s="4"/>
      <c r="M41" s="4"/>
      <c r="N41" s="4"/>
      <c r="O41" s="4"/>
      <c r="P41" s="4"/>
      <c r="Q41" s="4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4"/>
      <c r="K42" s="4"/>
      <c r="L42" s="4"/>
      <c r="M42" s="4"/>
      <c r="N42" s="4"/>
      <c r="O42" s="4"/>
      <c r="P42" s="4"/>
      <c r="Q42" s="4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4"/>
      <c r="K43" s="4"/>
      <c r="L43" s="4"/>
      <c r="M43" s="4"/>
      <c r="N43" s="4"/>
      <c r="O43" s="4"/>
      <c r="P43" s="4"/>
      <c r="Q43" s="4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4"/>
      <c r="K44" s="4"/>
      <c r="L44" s="4"/>
      <c r="M44" s="4"/>
      <c r="N44" s="4"/>
      <c r="O44" s="4"/>
      <c r="P44" s="4"/>
      <c r="Q44" s="4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4"/>
      <c r="K45" s="4"/>
      <c r="L45" s="4"/>
      <c r="M45" s="4"/>
      <c r="N45" s="4"/>
      <c r="O45" s="4"/>
      <c r="P45" s="4"/>
      <c r="Q45" s="4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4"/>
      <c r="K46" s="4"/>
      <c r="L46" s="4"/>
      <c r="M46" s="4"/>
      <c r="N46" s="4"/>
      <c r="O46" s="4"/>
      <c r="P46" s="4"/>
      <c r="Q46" s="4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4"/>
      <c r="K47" s="4"/>
      <c r="L47" s="4"/>
      <c r="M47" s="4"/>
      <c r="N47" s="4"/>
      <c r="O47" s="4"/>
      <c r="P47" s="4"/>
      <c r="Q47" s="4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4"/>
      <c r="K48" s="4"/>
      <c r="L48" s="4"/>
      <c r="M48" s="4"/>
      <c r="N48" s="4"/>
      <c r="O48" s="4"/>
      <c r="P48" s="4"/>
      <c r="Q48" s="4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4"/>
      <c r="K49" s="4"/>
      <c r="L49" s="4"/>
      <c r="M49" s="4"/>
      <c r="N49" s="4"/>
      <c r="O49" s="4"/>
      <c r="P49" s="4"/>
      <c r="Q49" s="4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4"/>
      <c r="K50" s="4"/>
      <c r="L50" s="4"/>
      <c r="M50" s="4"/>
      <c r="N50" s="4"/>
      <c r="O50" s="4"/>
      <c r="P50" s="4"/>
      <c r="Q50" s="4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4"/>
      <c r="K51" s="4"/>
      <c r="L51" s="4"/>
      <c r="M51" s="4"/>
      <c r="N51" s="4"/>
      <c r="O51" s="4"/>
      <c r="P51" s="4"/>
      <c r="Q51" s="4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4"/>
      <c r="K52" s="4"/>
      <c r="L52" s="4"/>
      <c r="M52" s="4"/>
      <c r="N52" s="4"/>
      <c r="O52" s="4"/>
      <c r="P52" s="4"/>
      <c r="Q52" s="4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4"/>
      <c r="K53" s="4"/>
      <c r="L53" s="4"/>
      <c r="M53" s="4"/>
      <c r="N53" s="4"/>
      <c r="O53" s="4"/>
      <c r="P53" s="4"/>
      <c r="Q53" s="4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4"/>
      <c r="K54" s="4"/>
      <c r="L54" s="4"/>
      <c r="M54" s="4"/>
      <c r="N54" s="4"/>
      <c r="O54" s="4"/>
      <c r="P54" s="4"/>
      <c r="Q54" s="4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4"/>
      <c r="K55" s="4"/>
      <c r="L55" s="4"/>
      <c r="M55" s="4"/>
      <c r="N55" s="4"/>
      <c r="O55" s="4"/>
      <c r="P55" s="4"/>
      <c r="Q55" s="4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4"/>
      <c r="K56" s="4"/>
      <c r="L56" s="4"/>
      <c r="M56" s="4"/>
      <c r="N56" s="4"/>
      <c r="O56" s="4"/>
      <c r="P56" s="4"/>
      <c r="Q56" s="4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4"/>
      <c r="K57" s="4"/>
      <c r="L57" s="4"/>
      <c r="M57" s="4"/>
      <c r="N57" s="4"/>
      <c r="O57" s="4"/>
      <c r="P57" s="4"/>
      <c r="Q57" s="4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4"/>
      <c r="K58" s="4"/>
      <c r="L58" s="4"/>
      <c r="M58" s="4"/>
      <c r="N58" s="4"/>
      <c r="O58" s="4"/>
      <c r="P58" s="4"/>
      <c r="Q58" s="4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4"/>
      <c r="K59" s="4"/>
      <c r="L59" s="4"/>
      <c r="M59" s="4"/>
      <c r="N59" s="4"/>
      <c r="O59" s="4"/>
      <c r="P59" s="4"/>
      <c r="Q59" s="4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4"/>
      <c r="K60" s="4"/>
      <c r="L60" s="4"/>
      <c r="M60" s="4"/>
      <c r="N60" s="4"/>
      <c r="O60" s="4"/>
      <c r="P60" s="4"/>
      <c r="Q60" s="4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4"/>
      <c r="K61" s="4"/>
      <c r="L61" s="4"/>
      <c r="M61" s="4"/>
      <c r="N61" s="4"/>
      <c r="O61" s="4"/>
      <c r="P61" s="4"/>
      <c r="Q61" s="4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4"/>
      <c r="K62" s="4"/>
      <c r="L62" s="4"/>
      <c r="M62" s="4"/>
      <c r="N62" s="4"/>
      <c r="O62" s="4"/>
      <c r="P62" s="4"/>
      <c r="Q62" s="4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4"/>
      <c r="K63" s="4"/>
      <c r="L63" s="4"/>
      <c r="M63" s="4"/>
      <c r="N63" s="4"/>
      <c r="O63" s="4"/>
      <c r="P63" s="4"/>
      <c r="Q63" s="4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4"/>
      <c r="K64" s="4"/>
      <c r="L64" s="4"/>
      <c r="M64" s="4"/>
      <c r="N64" s="4"/>
      <c r="O64" s="4"/>
      <c r="P64" s="4"/>
      <c r="Q64" s="4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4"/>
      <c r="K65" s="4"/>
      <c r="L65" s="4"/>
      <c r="M65" s="4"/>
      <c r="N65" s="4"/>
      <c r="O65" s="4"/>
      <c r="P65" s="4"/>
      <c r="Q65" s="4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4"/>
      <c r="K66" s="4"/>
      <c r="L66" s="4"/>
      <c r="M66" s="4"/>
      <c r="N66" s="4"/>
      <c r="O66" s="4"/>
      <c r="P66" s="4"/>
      <c r="Q66" s="4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4"/>
      <c r="K67" s="4"/>
      <c r="L67" s="4"/>
      <c r="M67" s="4"/>
      <c r="N67" s="4"/>
      <c r="O67" s="4"/>
      <c r="P67" s="4"/>
      <c r="Q67" s="4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4"/>
      <c r="K68" s="4"/>
      <c r="L68" s="4"/>
      <c r="M68" s="4"/>
      <c r="N68" s="4"/>
      <c r="O68" s="4"/>
      <c r="P68" s="4"/>
      <c r="Q68" s="4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4"/>
      <c r="K69" s="4"/>
      <c r="L69" s="4"/>
      <c r="M69" s="4"/>
      <c r="N69" s="4"/>
      <c r="O69" s="4"/>
      <c r="P69" s="4"/>
      <c r="Q69" s="4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4"/>
      <c r="K70" s="4"/>
      <c r="L70" s="4"/>
      <c r="M70" s="4"/>
      <c r="N70" s="4"/>
      <c r="O70" s="4"/>
      <c r="P70" s="4"/>
      <c r="Q70" s="4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4"/>
      <c r="K71" s="4"/>
      <c r="L71" s="4"/>
      <c r="M71" s="4"/>
      <c r="N71" s="4"/>
      <c r="O71" s="4"/>
      <c r="P71" s="4"/>
      <c r="Q71" s="4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4"/>
      <c r="K72" s="4"/>
      <c r="L72" s="4"/>
      <c r="M72" s="4"/>
      <c r="N72" s="4"/>
      <c r="O72" s="4"/>
      <c r="P72" s="4"/>
      <c r="Q72" s="4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4"/>
      <c r="K73" s="4"/>
      <c r="L73" s="4"/>
      <c r="M73" s="4"/>
      <c r="N73" s="4"/>
      <c r="O73" s="4"/>
      <c r="P73" s="4"/>
      <c r="Q73" s="4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4"/>
      <c r="K74" s="4"/>
      <c r="L74" s="4"/>
      <c r="M74" s="4"/>
      <c r="N74" s="4"/>
      <c r="O74" s="4"/>
      <c r="P74" s="4"/>
      <c r="Q74" s="4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4"/>
      <c r="K75" s="4"/>
      <c r="L75" s="4"/>
      <c r="M75" s="4"/>
      <c r="N75" s="4"/>
      <c r="O75" s="4"/>
      <c r="P75" s="4"/>
      <c r="Q75" s="4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4"/>
      <c r="K76" s="4"/>
      <c r="L76" s="4"/>
      <c r="M76" s="4"/>
      <c r="N76" s="4"/>
      <c r="O76" s="4"/>
      <c r="P76" s="4"/>
      <c r="Q76" s="4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4"/>
      <c r="K77" s="4"/>
      <c r="L77" s="4"/>
      <c r="M77" s="4"/>
      <c r="N77" s="4"/>
      <c r="O77" s="4"/>
      <c r="P77" s="4"/>
      <c r="Q77" s="4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4"/>
      <c r="K78" s="4"/>
      <c r="L78" s="4"/>
      <c r="M78" s="4"/>
      <c r="N78" s="4"/>
      <c r="O78" s="4"/>
      <c r="P78" s="4"/>
      <c r="Q78" s="4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4"/>
      <c r="K79" s="4"/>
      <c r="L79" s="4"/>
      <c r="M79" s="4"/>
      <c r="N79" s="4"/>
      <c r="O79" s="4"/>
      <c r="P79" s="4"/>
      <c r="Q79" s="4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4"/>
      <c r="K80" s="4"/>
      <c r="L80" s="4"/>
      <c r="M80" s="4"/>
      <c r="N80" s="4"/>
      <c r="O80" s="4"/>
      <c r="P80" s="4"/>
      <c r="Q80" s="4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4"/>
      <c r="K81" s="4"/>
      <c r="L81" s="4"/>
      <c r="M81" s="4"/>
      <c r="N81" s="4"/>
      <c r="O81" s="4"/>
      <c r="P81" s="4"/>
      <c r="Q81" s="4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4"/>
      <c r="K82" s="4"/>
      <c r="L82" s="4"/>
      <c r="M82" s="4"/>
      <c r="N82" s="4"/>
      <c r="O82" s="4"/>
      <c r="P82" s="4"/>
      <c r="Q82" s="4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4"/>
      <c r="K83" s="4"/>
      <c r="L83" s="4"/>
      <c r="M83" s="4"/>
      <c r="N83" s="4"/>
      <c r="O83" s="4"/>
      <c r="P83" s="4"/>
      <c r="Q83" s="4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4"/>
      <c r="K84" s="4"/>
      <c r="L84" s="4"/>
      <c r="M84" s="4"/>
      <c r="N84" s="4"/>
      <c r="O84" s="4"/>
      <c r="P84" s="4"/>
      <c r="Q84" s="4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4"/>
      <c r="K85" s="4"/>
      <c r="L85" s="4"/>
      <c r="M85" s="4"/>
      <c r="N85" s="4"/>
      <c r="O85" s="4"/>
      <c r="P85" s="4"/>
      <c r="Q85" s="4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4"/>
      <c r="K86" s="4"/>
      <c r="L86" s="4"/>
      <c r="M86" s="4"/>
      <c r="N86" s="4"/>
      <c r="O86" s="4"/>
      <c r="P86" s="4"/>
      <c r="Q86" s="4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4"/>
      <c r="K87" s="4"/>
      <c r="L87" s="4"/>
      <c r="M87" s="4"/>
      <c r="N87" s="4"/>
      <c r="O87" s="4"/>
      <c r="P87" s="4"/>
      <c r="Q87" s="4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4"/>
      <c r="K88" s="4"/>
      <c r="L88" s="4"/>
      <c r="M88" s="4"/>
      <c r="N88" s="4"/>
      <c r="O88" s="4"/>
      <c r="P88" s="4"/>
      <c r="Q88" s="4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4"/>
      <c r="K89" s="4"/>
      <c r="L89" s="4"/>
      <c r="M89" s="4"/>
      <c r="N89" s="4"/>
      <c r="O89" s="4"/>
      <c r="P89" s="4"/>
      <c r="Q89" s="4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4"/>
      <c r="K90" s="4"/>
      <c r="L90" s="4"/>
      <c r="M90" s="4"/>
      <c r="N90" s="4"/>
      <c r="O90" s="4"/>
      <c r="P90" s="4"/>
      <c r="Q90" s="4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4"/>
      <c r="K91" s="4"/>
      <c r="L91" s="4"/>
      <c r="M91" s="4"/>
      <c r="N91" s="4"/>
      <c r="O91" s="4"/>
      <c r="P91" s="4"/>
      <c r="Q91" s="4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4"/>
      <c r="K92" s="4"/>
      <c r="L92" s="4"/>
      <c r="M92" s="4"/>
      <c r="N92" s="4"/>
      <c r="O92" s="4"/>
      <c r="P92" s="4"/>
      <c r="Q92" s="4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4"/>
      <c r="K93" s="4"/>
      <c r="L93" s="4"/>
      <c r="M93" s="4"/>
      <c r="N93" s="4"/>
      <c r="O93" s="4"/>
      <c r="P93" s="4"/>
      <c r="Q93" s="4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4"/>
      <c r="K94" s="4"/>
      <c r="L94" s="4"/>
      <c r="M94" s="4"/>
      <c r="N94" s="4"/>
      <c r="O94" s="4"/>
      <c r="P94" s="4"/>
      <c r="Q94" s="4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4"/>
      <c r="K95" s="4"/>
      <c r="L95" s="4"/>
      <c r="M95" s="4"/>
      <c r="N95" s="4"/>
      <c r="O95" s="4"/>
      <c r="P95" s="4"/>
      <c r="Q95" s="4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4"/>
      <c r="K96" s="4"/>
      <c r="L96" s="4"/>
      <c r="M96" s="4"/>
      <c r="N96" s="4"/>
      <c r="O96" s="4"/>
      <c r="P96" s="4"/>
      <c r="Q96" s="4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4"/>
      <c r="K97" s="4"/>
      <c r="L97" s="4"/>
      <c r="M97" s="4"/>
      <c r="N97" s="4"/>
      <c r="O97" s="4"/>
      <c r="P97" s="4"/>
      <c r="Q97" s="4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4"/>
      <c r="K98" s="4"/>
      <c r="L98" s="4"/>
      <c r="M98" s="4"/>
      <c r="N98" s="4"/>
      <c r="O98" s="4"/>
      <c r="P98" s="4"/>
      <c r="Q98" s="4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4"/>
      <c r="K99" s="4"/>
      <c r="L99" s="4"/>
      <c r="M99" s="4"/>
      <c r="N99" s="4"/>
      <c r="O99" s="4"/>
      <c r="P99" s="4"/>
      <c r="Q99" s="4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4"/>
      <c r="K100" s="4"/>
      <c r="L100" s="4"/>
      <c r="M100" s="4"/>
      <c r="N100" s="4"/>
      <c r="O100" s="4"/>
      <c r="P100" s="4"/>
      <c r="Q100" s="4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4"/>
      <c r="K101" s="4"/>
      <c r="L101" s="4"/>
      <c r="M101" s="4"/>
      <c r="N101" s="4"/>
      <c r="O101" s="4"/>
      <c r="P101" s="4"/>
      <c r="Q101" s="4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4"/>
      <c r="K102" s="4"/>
      <c r="L102" s="4"/>
      <c r="M102" s="4"/>
      <c r="N102" s="4"/>
      <c r="O102" s="4"/>
      <c r="P102" s="4"/>
      <c r="Q102" s="4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4"/>
      <c r="K103" s="4"/>
      <c r="L103" s="4"/>
      <c r="M103" s="4"/>
      <c r="N103" s="4"/>
      <c r="O103" s="4"/>
      <c r="P103" s="4"/>
      <c r="Q103" s="4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4"/>
      <c r="K104" s="4"/>
      <c r="L104" s="4"/>
      <c r="M104" s="4"/>
      <c r="N104" s="4"/>
      <c r="O104" s="4"/>
      <c r="P104" s="4"/>
      <c r="Q104" s="4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4"/>
      <c r="K105" s="4"/>
      <c r="L105" s="4"/>
      <c r="M105" s="4"/>
      <c r="N105" s="4"/>
      <c r="O105" s="4"/>
      <c r="P105" s="4"/>
      <c r="Q105" s="4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4"/>
      <c r="K106" s="4"/>
      <c r="L106" s="4"/>
      <c r="M106" s="4"/>
      <c r="N106" s="4"/>
      <c r="O106" s="4"/>
      <c r="P106" s="4"/>
      <c r="Q106" s="4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4"/>
      <c r="K107" s="4"/>
      <c r="L107" s="4"/>
      <c r="M107" s="4"/>
      <c r="N107" s="4"/>
      <c r="O107" s="4"/>
      <c r="P107" s="4"/>
      <c r="Q107" s="4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4"/>
      <c r="K108" s="4"/>
      <c r="L108" s="4"/>
      <c r="M108" s="4"/>
      <c r="N108" s="4"/>
      <c r="O108" s="4"/>
      <c r="P108" s="4"/>
      <c r="Q108" s="4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4"/>
      <c r="K109" s="4"/>
      <c r="L109" s="4"/>
      <c r="M109" s="4"/>
      <c r="N109" s="4"/>
      <c r="O109" s="4"/>
      <c r="P109" s="4"/>
      <c r="Q109" s="4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4"/>
      <c r="K110" s="4"/>
      <c r="L110" s="4"/>
      <c r="M110" s="4"/>
      <c r="N110" s="4"/>
      <c r="O110" s="4"/>
      <c r="P110" s="4"/>
      <c r="Q110" s="4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4"/>
      <c r="K111" s="4"/>
      <c r="L111" s="4"/>
      <c r="M111" s="4"/>
      <c r="N111" s="4"/>
      <c r="O111" s="4"/>
      <c r="P111" s="4"/>
      <c r="Q111" s="4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4"/>
      <c r="K112" s="4"/>
      <c r="L112" s="4"/>
      <c r="M112" s="4"/>
      <c r="N112" s="4"/>
      <c r="O112" s="4"/>
      <c r="P112" s="4"/>
      <c r="Q112" s="4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4"/>
      <c r="K113" s="4"/>
      <c r="L113" s="4"/>
      <c r="M113" s="4"/>
      <c r="N113" s="4"/>
      <c r="O113" s="4"/>
      <c r="P113" s="4"/>
      <c r="Q113" s="4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4"/>
      <c r="K114" s="4"/>
      <c r="L114" s="4"/>
      <c r="M114" s="4"/>
      <c r="N114" s="4"/>
      <c r="O114" s="4"/>
      <c r="P114" s="4"/>
      <c r="Q114" s="4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4"/>
      <c r="K115" s="4"/>
      <c r="L115" s="4"/>
      <c r="M115" s="4"/>
      <c r="N115" s="4"/>
      <c r="O115" s="4"/>
      <c r="P115" s="4"/>
      <c r="Q115" s="4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4"/>
      <c r="K116" s="4"/>
      <c r="L116" s="4"/>
      <c r="M116" s="4"/>
      <c r="N116" s="4"/>
      <c r="O116" s="4"/>
      <c r="P116" s="4"/>
      <c r="Q116" s="4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4"/>
      <c r="K117" s="4"/>
      <c r="L117" s="4"/>
      <c r="M117" s="4"/>
      <c r="N117" s="4"/>
      <c r="O117" s="4"/>
      <c r="P117" s="4"/>
      <c r="Q117" s="4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4"/>
      <c r="K118" s="4"/>
      <c r="L118" s="4"/>
      <c r="M118" s="4"/>
      <c r="N118" s="4"/>
      <c r="O118" s="4"/>
      <c r="P118" s="4"/>
      <c r="Q118" s="4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4"/>
      <c r="K119" s="4"/>
      <c r="L119" s="4"/>
      <c r="M119" s="4"/>
      <c r="N119" s="4"/>
      <c r="O119" s="4"/>
      <c r="P119" s="4"/>
      <c r="Q119" s="4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4"/>
      <c r="K120" s="4"/>
      <c r="L120" s="4"/>
      <c r="M120" s="4"/>
      <c r="N120" s="4"/>
      <c r="O120" s="4"/>
      <c r="P120" s="4"/>
      <c r="Q120" s="4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4"/>
      <c r="K121" s="4"/>
      <c r="L121" s="4"/>
      <c r="M121" s="4"/>
      <c r="N121" s="4"/>
      <c r="O121" s="4"/>
      <c r="P121" s="4"/>
      <c r="Q121" s="4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4"/>
      <c r="K122" s="4"/>
      <c r="L122" s="4"/>
      <c r="M122" s="4"/>
      <c r="N122" s="4"/>
      <c r="O122" s="4"/>
      <c r="P122" s="4"/>
      <c r="Q122" s="4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4"/>
      <c r="K123" s="4"/>
      <c r="L123" s="4"/>
      <c r="M123" s="4"/>
      <c r="N123" s="4"/>
      <c r="O123" s="4"/>
      <c r="P123" s="4"/>
      <c r="Q123" s="4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4"/>
      <c r="K124" s="4"/>
      <c r="L124" s="4"/>
      <c r="M124" s="4"/>
      <c r="N124" s="4"/>
      <c r="O124" s="4"/>
      <c r="P124" s="4"/>
      <c r="Q124" s="4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4"/>
      <c r="K125" s="4"/>
      <c r="L125" s="4"/>
      <c r="M125" s="4"/>
      <c r="N125" s="4"/>
      <c r="O125" s="4"/>
      <c r="P125" s="4"/>
      <c r="Q125" s="4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4"/>
      <c r="K126" s="4"/>
      <c r="L126" s="4"/>
      <c r="M126" s="4"/>
      <c r="N126" s="4"/>
      <c r="O126" s="4"/>
      <c r="P126" s="4"/>
      <c r="Q126" s="4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4"/>
      <c r="K127" s="4"/>
      <c r="L127" s="4"/>
      <c r="M127" s="4"/>
      <c r="N127" s="4"/>
      <c r="O127" s="4"/>
      <c r="P127" s="4"/>
      <c r="Q127" s="4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4"/>
      <c r="K128" s="4"/>
      <c r="L128" s="4"/>
      <c r="M128" s="4"/>
      <c r="N128" s="4"/>
      <c r="O128" s="4"/>
      <c r="P128" s="4"/>
      <c r="Q128" s="4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4"/>
      <c r="K129" s="4"/>
      <c r="L129" s="4"/>
      <c r="M129" s="4"/>
      <c r="N129" s="4"/>
      <c r="O129" s="4"/>
      <c r="P129" s="4"/>
      <c r="Q129" s="4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4"/>
      <c r="K130" s="4"/>
      <c r="L130" s="4"/>
      <c r="M130" s="4"/>
      <c r="N130" s="4"/>
      <c r="O130" s="4"/>
      <c r="P130" s="4"/>
      <c r="Q130" s="4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4"/>
      <c r="K131" s="4"/>
      <c r="L131" s="4"/>
      <c r="M131" s="4"/>
      <c r="N131" s="4"/>
      <c r="O131" s="4"/>
      <c r="P131" s="4"/>
      <c r="Q131" s="4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4"/>
      <c r="K132" s="4"/>
      <c r="L132" s="4"/>
      <c r="M132" s="4"/>
      <c r="N132" s="4"/>
      <c r="O132" s="4"/>
      <c r="P132" s="4"/>
      <c r="Q132" s="4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4"/>
      <c r="K133" s="4"/>
      <c r="L133" s="4"/>
      <c r="M133" s="4"/>
      <c r="N133" s="4"/>
      <c r="O133" s="4"/>
      <c r="P133" s="4"/>
      <c r="Q133" s="4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4"/>
      <c r="K134" s="4"/>
      <c r="L134" s="4"/>
      <c r="M134" s="4"/>
      <c r="N134" s="4"/>
      <c r="O134" s="4"/>
      <c r="P134" s="4"/>
      <c r="Q134" s="4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4"/>
      <c r="K135" s="4"/>
      <c r="L135" s="4"/>
      <c r="M135" s="4"/>
      <c r="N135" s="4"/>
      <c r="O135" s="4"/>
      <c r="P135" s="4"/>
      <c r="Q135" s="4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4"/>
      <c r="K136" s="4"/>
      <c r="L136" s="4"/>
      <c r="M136" s="4"/>
      <c r="N136" s="4"/>
      <c r="O136" s="4"/>
      <c r="P136" s="4"/>
      <c r="Q136" s="4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4"/>
      <c r="K137" s="4"/>
      <c r="L137" s="4"/>
      <c r="M137" s="4"/>
      <c r="N137" s="4"/>
      <c r="O137" s="4"/>
      <c r="P137" s="4"/>
      <c r="Q137" s="4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4"/>
      <c r="K138" s="4"/>
      <c r="L138" s="4"/>
      <c r="M138" s="4"/>
      <c r="N138" s="4"/>
      <c r="O138" s="4"/>
      <c r="P138" s="4"/>
      <c r="Q138" s="4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4"/>
      <c r="K139" s="4"/>
      <c r="L139" s="4"/>
      <c r="M139" s="4"/>
      <c r="N139" s="4"/>
      <c r="O139" s="4"/>
      <c r="P139" s="4"/>
      <c r="Q139" s="4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4"/>
      <c r="K140" s="4"/>
      <c r="L140" s="4"/>
      <c r="M140" s="4"/>
      <c r="N140" s="4"/>
      <c r="O140" s="4"/>
      <c r="P140" s="4"/>
      <c r="Q140" s="4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4"/>
      <c r="K141" s="4"/>
      <c r="L141" s="4"/>
      <c r="M141" s="4"/>
      <c r="N141" s="4"/>
      <c r="O141" s="4"/>
      <c r="P141" s="4"/>
      <c r="Q141" s="4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4"/>
      <c r="K142" s="4"/>
      <c r="L142" s="4"/>
      <c r="M142" s="4"/>
      <c r="N142" s="4"/>
      <c r="O142" s="4"/>
      <c r="P142" s="4"/>
      <c r="Q142" s="4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4"/>
      <c r="K143" s="4"/>
      <c r="L143" s="4"/>
      <c r="M143" s="4"/>
      <c r="N143" s="4"/>
      <c r="O143" s="4"/>
      <c r="P143" s="4"/>
      <c r="Q143" s="4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4"/>
      <c r="K144" s="4"/>
      <c r="L144" s="4"/>
      <c r="M144" s="4"/>
      <c r="N144" s="4"/>
      <c r="O144" s="4"/>
      <c r="P144" s="4"/>
      <c r="Q144" s="4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4"/>
      <c r="K145" s="4"/>
      <c r="L145" s="4"/>
      <c r="M145" s="4"/>
      <c r="N145" s="4"/>
      <c r="O145" s="4"/>
      <c r="P145" s="4"/>
      <c r="Q145" s="4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4"/>
      <c r="K146" s="4"/>
      <c r="L146" s="4"/>
      <c r="M146" s="4"/>
      <c r="N146" s="4"/>
      <c r="O146" s="4"/>
      <c r="P146" s="4"/>
      <c r="Q146" s="4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4"/>
      <c r="K147" s="4"/>
      <c r="L147" s="4"/>
      <c r="M147" s="4"/>
      <c r="N147" s="4"/>
      <c r="O147" s="4"/>
      <c r="P147" s="4"/>
      <c r="Q147" s="4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4"/>
      <c r="K148" s="4"/>
      <c r="L148" s="4"/>
      <c r="M148" s="4"/>
      <c r="N148" s="4"/>
      <c r="O148" s="4"/>
      <c r="P148" s="4"/>
      <c r="Q148" s="4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4"/>
      <c r="K149" s="4"/>
      <c r="L149" s="4"/>
      <c r="M149" s="4"/>
      <c r="N149" s="4"/>
      <c r="O149" s="4"/>
      <c r="P149" s="4"/>
      <c r="Q149" s="4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4"/>
      <c r="K150" s="4"/>
      <c r="L150" s="4"/>
      <c r="M150" s="4"/>
      <c r="N150" s="4"/>
      <c r="O150" s="4"/>
      <c r="P150" s="4"/>
      <c r="Q150" s="4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4"/>
      <c r="K151" s="4"/>
      <c r="L151" s="4"/>
      <c r="M151" s="4"/>
      <c r="N151" s="4"/>
      <c r="O151" s="4"/>
      <c r="P151" s="4"/>
      <c r="Q151" s="4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4"/>
      <c r="K152" s="4"/>
      <c r="L152" s="4"/>
      <c r="M152" s="4"/>
      <c r="N152" s="4"/>
      <c r="O152" s="4"/>
      <c r="P152" s="4"/>
      <c r="Q152" s="4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4"/>
      <c r="K153" s="4"/>
      <c r="L153" s="4"/>
      <c r="M153" s="4"/>
      <c r="N153" s="4"/>
      <c r="O153" s="4"/>
      <c r="P153" s="4"/>
      <c r="Q153" s="4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4"/>
      <c r="K154" s="4"/>
      <c r="L154" s="4"/>
      <c r="M154" s="4"/>
      <c r="N154" s="4"/>
      <c r="O154" s="4"/>
      <c r="P154" s="4"/>
      <c r="Q154" s="4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4"/>
      <c r="K155" s="4"/>
      <c r="L155" s="4"/>
      <c r="M155" s="4"/>
      <c r="N155" s="4"/>
      <c r="O155" s="4"/>
      <c r="P155" s="4"/>
      <c r="Q155" s="4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4"/>
      <c r="K156" s="4"/>
      <c r="L156" s="4"/>
      <c r="M156" s="4"/>
      <c r="N156" s="4"/>
      <c r="O156" s="4"/>
      <c r="P156" s="4"/>
      <c r="Q156" s="4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4"/>
      <c r="K157" s="4"/>
      <c r="L157" s="4"/>
      <c r="M157" s="4"/>
      <c r="N157" s="4"/>
      <c r="O157" s="4"/>
      <c r="P157" s="4"/>
      <c r="Q157" s="4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4"/>
      <c r="K158" s="4"/>
      <c r="L158" s="4"/>
      <c r="M158" s="4"/>
      <c r="N158" s="4"/>
      <c r="O158" s="4"/>
      <c r="P158" s="4"/>
      <c r="Q158" s="4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4"/>
      <c r="K159" s="4"/>
      <c r="L159" s="4"/>
      <c r="M159" s="4"/>
      <c r="N159" s="4"/>
      <c r="O159" s="4"/>
      <c r="P159" s="4"/>
      <c r="Q159" s="4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4"/>
      <c r="K160" s="4"/>
      <c r="L160" s="4"/>
      <c r="M160" s="4"/>
      <c r="N160" s="4"/>
      <c r="O160" s="4"/>
      <c r="P160" s="4"/>
      <c r="Q160" s="4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4"/>
      <c r="K161" s="4"/>
      <c r="L161" s="4"/>
      <c r="M161" s="4"/>
      <c r="N161" s="4"/>
      <c r="O161" s="4"/>
      <c r="P161" s="4"/>
      <c r="Q161" s="4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4"/>
      <c r="K162" s="4"/>
      <c r="L162" s="4"/>
      <c r="M162" s="4"/>
      <c r="N162" s="4"/>
      <c r="O162" s="4"/>
      <c r="P162" s="4"/>
      <c r="Q162" s="4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4"/>
      <c r="K163" s="4"/>
      <c r="L163" s="4"/>
      <c r="M163" s="4"/>
      <c r="N163" s="4"/>
      <c r="O163" s="4"/>
      <c r="P163" s="4"/>
      <c r="Q163" s="4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4"/>
      <c r="K164" s="4"/>
      <c r="L164" s="4"/>
      <c r="M164" s="4"/>
      <c r="N164" s="4"/>
      <c r="O164" s="4"/>
      <c r="P164" s="4"/>
      <c r="Q164" s="4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4"/>
      <c r="K165" s="4"/>
      <c r="L165" s="4"/>
      <c r="M165" s="4"/>
      <c r="N165" s="4"/>
      <c r="O165" s="4"/>
      <c r="P165" s="4"/>
      <c r="Q165" s="4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4"/>
      <c r="K166" s="4"/>
      <c r="L166" s="4"/>
      <c r="M166" s="4"/>
      <c r="N166" s="4"/>
      <c r="O166" s="4"/>
      <c r="P166" s="4"/>
      <c r="Q166" s="4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4"/>
      <c r="K167" s="4"/>
      <c r="L167" s="4"/>
      <c r="M167" s="4"/>
      <c r="N167" s="4"/>
      <c r="O167" s="4"/>
      <c r="P167" s="4"/>
      <c r="Q167" s="4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4"/>
      <c r="K168" s="4"/>
      <c r="L168" s="4"/>
      <c r="M168" s="4"/>
      <c r="N168" s="4"/>
      <c r="O168" s="4"/>
      <c r="P168" s="4"/>
      <c r="Q168" s="4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4"/>
      <c r="K169" s="4"/>
      <c r="L169" s="4"/>
      <c r="M169" s="4"/>
      <c r="N169" s="4"/>
      <c r="O169" s="4"/>
      <c r="P169" s="4"/>
      <c r="Q169" s="4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4"/>
      <c r="K170" s="4"/>
      <c r="L170" s="4"/>
      <c r="M170" s="4"/>
      <c r="N170" s="4"/>
      <c r="O170" s="4"/>
      <c r="P170" s="4"/>
      <c r="Q170" s="4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4"/>
      <c r="K171" s="4"/>
      <c r="L171" s="4"/>
      <c r="M171" s="4"/>
      <c r="N171" s="4"/>
      <c r="O171" s="4"/>
      <c r="P171" s="4"/>
      <c r="Q171" s="4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4"/>
      <c r="K172" s="4"/>
      <c r="L172" s="4"/>
      <c r="M172" s="4"/>
      <c r="N172" s="4"/>
      <c r="O172" s="4"/>
      <c r="P172" s="4"/>
      <c r="Q172" s="4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4"/>
      <c r="K173" s="4"/>
      <c r="L173" s="4"/>
      <c r="M173" s="4"/>
      <c r="N173" s="4"/>
      <c r="O173" s="4"/>
      <c r="P173" s="4"/>
      <c r="Q173" s="4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4"/>
      <c r="K174" s="4"/>
      <c r="L174" s="4"/>
      <c r="M174" s="4"/>
      <c r="N174" s="4"/>
      <c r="O174" s="4"/>
      <c r="P174" s="4"/>
      <c r="Q174" s="4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4"/>
      <c r="K175" s="4"/>
      <c r="L175" s="4"/>
      <c r="M175" s="4"/>
      <c r="N175" s="4"/>
      <c r="O175" s="4"/>
      <c r="P175" s="4"/>
      <c r="Q175" s="4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4"/>
      <c r="K176" s="4"/>
      <c r="L176" s="4"/>
      <c r="M176" s="4"/>
      <c r="N176" s="4"/>
      <c r="O176" s="4"/>
      <c r="P176" s="4"/>
      <c r="Q176" s="4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4"/>
      <c r="K177" s="4"/>
      <c r="L177" s="4"/>
      <c r="M177" s="4"/>
      <c r="N177" s="4"/>
      <c r="O177" s="4"/>
      <c r="P177" s="4"/>
      <c r="Q177" s="4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4"/>
      <c r="K178" s="4"/>
      <c r="L178" s="4"/>
      <c r="M178" s="4"/>
      <c r="N178" s="4"/>
      <c r="O178" s="4"/>
      <c r="P178" s="4"/>
      <c r="Q178" s="4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4"/>
      <c r="K179" s="4"/>
      <c r="L179" s="4"/>
      <c r="M179" s="4"/>
      <c r="N179" s="4"/>
      <c r="O179" s="4"/>
      <c r="P179" s="4"/>
      <c r="Q179" s="4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4"/>
      <c r="K180" s="4"/>
      <c r="L180" s="4"/>
      <c r="M180" s="4"/>
      <c r="N180" s="4"/>
      <c r="O180" s="4"/>
      <c r="P180" s="4"/>
      <c r="Q180" s="4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4"/>
      <c r="K181" s="4"/>
      <c r="L181" s="4"/>
      <c r="M181" s="4"/>
      <c r="N181" s="4"/>
      <c r="O181" s="4"/>
      <c r="P181" s="4"/>
      <c r="Q181" s="4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4"/>
      <c r="K182" s="4"/>
      <c r="L182" s="4"/>
      <c r="M182" s="4"/>
      <c r="N182" s="4"/>
      <c r="O182" s="4"/>
      <c r="P182" s="4"/>
      <c r="Q182" s="4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4"/>
      <c r="K183" s="4"/>
      <c r="L183" s="4"/>
      <c r="M183" s="4"/>
      <c r="N183" s="4"/>
      <c r="O183" s="4"/>
      <c r="P183" s="4"/>
      <c r="Q183" s="4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4"/>
      <c r="K184" s="4"/>
      <c r="L184" s="4"/>
      <c r="M184" s="4"/>
      <c r="N184" s="4"/>
      <c r="O184" s="4"/>
      <c r="P184" s="4"/>
      <c r="Q184" s="4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4"/>
      <c r="K185" s="4"/>
      <c r="L185" s="4"/>
      <c r="M185" s="4"/>
      <c r="N185" s="4"/>
      <c r="O185" s="4"/>
      <c r="P185" s="4"/>
      <c r="Q185" s="4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4"/>
      <c r="K186" s="4"/>
      <c r="L186" s="4"/>
      <c r="M186" s="4"/>
      <c r="N186" s="4"/>
      <c r="O186" s="4"/>
      <c r="P186" s="4"/>
      <c r="Q186" s="4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4"/>
      <c r="K187" s="4"/>
      <c r="L187" s="4"/>
      <c r="M187" s="4"/>
      <c r="N187" s="4"/>
      <c r="O187" s="4"/>
      <c r="P187" s="4"/>
      <c r="Q187" s="4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4"/>
      <c r="K188" s="4"/>
      <c r="L188" s="4"/>
      <c r="M188" s="4"/>
      <c r="N188" s="4"/>
      <c r="O188" s="4"/>
      <c r="P188" s="4"/>
      <c r="Q188" s="4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4"/>
      <c r="K189" s="4"/>
      <c r="L189" s="4"/>
      <c r="M189" s="4"/>
      <c r="N189" s="4"/>
      <c r="O189" s="4"/>
      <c r="P189" s="4"/>
      <c r="Q189" s="4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4"/>
      <c r="K190" s="4"/>
      <c r="L190" s="4"/>
      <c r="M190" s="4"/>
      <c r="N190" s="4"/>
      <c r="O190" s="4"/>
      <c r="P190" s="4"/>
      <c r="Q190" s="4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4"/>
      <c r="K191" s="4"/>
      <c r="L191" s="4"/>
      <c r="M191" s="4"/>
      <c r="N191" s="4"/>
      <c r="O191" s="4"/>
      <c r="P191" s="4"/>
      <c r="Q191" s="4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4"/>
      <c r="K192" s="4"/>
      <c r="L192" s="4"/>
      <c r="M192" s="4"/>
      <c r="N192" s="4"/>
      <c r="O192" s="4"/>
      <c r="P192" s="4"/>
      <c r="Q192" s="4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4"/>
      <c r="K193" s="4"/>
      <c r="L193" s="4"/>
      <c r="M193" s="4"/>
      <c r="N193" s="4"/>
      <c r="O193" s="4"/>
      <c r="P193" s="4"/>
      <c r="Q193" s="4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4"/>
      <c r="K194" s="4"/>
      <c r="L194" s="4"/>
      <c r="M194" s="4"/>
      <c r="N194" s="4"/>
      <c r="O194" s="4"/>
      <c r="P194" s="4"/>
      <c r="Q194" s="4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4"/>
      <c r="K195" s="4"/>
      <c r="L195" s="4"/>
      <c r="M195" s="4"/>
      <c r="N195" s="4"/>
      <c r="O195" s="4"/>
      <c r="P195" s="4"/>
      <c r="Q195" s="4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4"/>
      <c r="K196" s="4"/>
      <c r="L196" s="4"/>
      <c r="M196" s="4"/>
      <c r="N196" s="4"/>
      <c r="O196" s="4"/>
      <c r="P196" s="4"/>
      <c r="Q196" s="4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4"/>
      <c r="K197" s="4"/>
      <c r="L197" s="4"/>
      <c r="M197" s="4"/>
      <c r="N197" s="4"/>
      <c r="O197" s="4"/>
      <c r="P197" s="4"/>
      <c r="Q197" s="4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4"/>
      <c r="K198" s="4"/>
      <c r="L198" s="4"/>
      <c r="M198" s="4"/>
      <c r="N198" s="4"/>
      <c r="O198" s="4"/>
      <c r="P198" s="4"/>
      <c r="Q198" s="4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4"/>
      <c r="K199" s="4"/>
      <c r="L199" s="4"/>
      <c r="M199" s="4"/>
      <c r="N199" s="4"/>
      <c r="O199" s="4"/>
      <c r="P199" s="4"/>
      <c r="Q199" s="4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4"/>
      <c r="K200" s="4"/>
      <c r="L200" s="4"/>
      <c r="M200" s="4"/>
      <c r="N200" s="4"/>
      <c r="O200" s="4"/>
      <c r="P200" s="4"/>
      <c r="Q200" s="4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4"/>
      <c r="K201" s="4"/>
      <c r="L201" s="4"/>
      <c r="M201" s="4"/>
      <c r="N201" s="4"/>
      <c r="O201" s="4"/>
      <c r="P201" s="4"/>
      <c r="Q201" s="4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4"/>
      <c r="K202" s="4"/>
      <c r="L202" s="4"/>
      <c r="M202" s="4"/>
      <c r="N202" s="4"/>
      <c r="O202" s="4"/>
      <c r="P202" s="4"/>
      <c r="Q202" s="4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4"/>
      <c r="K203" s="4"/>
      <c r="L203" s="4"/>
      <c r="M203" s="4"/>
      <c r="N203" s="4"/>
      <c r="O203" s="4"/>
      <c r="P203" s="4"/>
      <c r="Q203" s="4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4"/>
      <c r="K204" s="4"/>
      <c r="L204" s="4"/>
      <c r="M204" s="4"/>
      <c r="N204" s="4"/>
      <c r="O204" s="4"/>
      <c r="P204" s="4"/>
      <c r="Q204" s="4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4"/>
      <c r="K205" s="4"/>
      <c r="L205" s="4"/>
      <c r="M205" s="4"/>
      <c r="N205" s="4"/>
      <c r="O205" s="4"/>
      <c r="P205" s="4"/>
      <c r="Q205" s="4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4"/>
      <c r="K206" s="4"/>
      <c r="L206" s="4"/>
      <c r="M206" s="4"/>
      <c r="N206" s="4"/>
      <c r="O206" s="4"/>
      <c r="P206" s="4"/>
      <c r="Q206" s="4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4"/>
      <c r="K207" s="4"/>
      <c r="L207" s="4"/>
      <c r="M207" s="4"/>
      <c r="N207" s="4"/>
      <c r="O207" s="4"/>
      <c r="P207" s="4"/>
      <c r="Q207" s="4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4"/>
      <c r="K208" s="4"/>
      <c r="L208" s="4"/>
      <c r="M208" s="4"/>
      <c r="N208" s="4"/>
      <c r="O208" s="4"/>
      <c r="P208" s="4"/>
      <c r="Q208" s="4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4"/>
      <c r="K209" s="4"/>
      <c r="L209" s="4"/>
      <c r="M209" s="4"/>
      <c r="N209" s="4"/>
      <c r="O209" s="4"/>
      <c r="P209" s="4"/>
      <c r="Q209" s="4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4"/>
      <c r="K210" s="4"/>
      <c r="L210" s="4"/>
      <c r="M210" s="4"/>
      <c r="N210" s="4"/>
      <c r="O210" s="4"/>
      <c r="P210" s="4"/>
      <c r="Q210" s="4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4"/>
      <c r="K211" s="4"/>
      <c r="L211" s="4"/>
      <c r="M211" s="4"/>
      <c r="N211" s="4"/>
      <c r="O211" s="4"/>
      <c r="P211" s="4"/>
      <c r="Q211" s="4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4"/>
      <c r="K212" s="4"/>
      <c r="L212" s="4"/>
      <c r="M212" s="4"/>
      <c r="N212" s="4"/>
      <c r="O212" s="4"/>
      <c r="P212" s="4"/>
      <c r="Q212" s="4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4"/>
      <c r="K213" s="4"/>
      <c r="L213" s="4"/>
      <c r="M213" s="4"/>
      <c r="N213" s="4"/>
      <c r="O213" s="4"/>
      <c r="P213" s="4"/>
      <c r="Q213" s="4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4"/>
      <c r="K214" s="4"/>
      <c r="L214" s="4"/>
      <c r="M214" s="4"/>
      <c r="N214" s="4"/>
      <c r="O214" s="4"/>
      <c r="P214" s="4"/>
      <c r="Q214" s="4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4"/>
      <c r="K215" s="4"/>
      <c r="L215" s="4"/>
      <c r="M215" s="4"/>
      <c r="N215" s="4"/>
      <c r="O215" s="4"/>
      <c r="P215" s="4"/>
      <c r="Q215" s="4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4"/>
      <c r="K216" s="4"/>
      <c r="L216" s="4"/>
      <c r="M216" s="4"/>
      <c r="N216" s="4"/>
      <c r="O216" s="4"/>
      <c r="P216" s="4"/>
      <c r="Q216" s="4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4"/>
      <c r="K217" s="4"/>
      <c r="L217" s="4"/>
      <c r="M217" s="4"/>
      <c r="N217" s="4"/>
      <c r="O217" s="4"/>
      <c r="P217" s="4"/>
      <c r="Q217" s="4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4"/>
      <c r="K218" s="4"/>
      <c r="L218" s="4"/>
      <c r="M218" s="4"/>
      <c r="N218" s="4"/>
      <c r="O218" s="4"/>
      <c r="P218" s="4"/>
      <c r="Q218" s="4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4"/>
      <c r="K219" s="4"/>
      <c r="L219" s="4"/>
      <c r="M219" s="4"/>
      <c r="N219" s="4"/>
      <c r="O219" s="4"/>
      <c r="P219" s="4"/>
      <c r="Q219" s="4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4"/>
      <c r="K220" s="4"/>
      <c r="L220" s="4"/>
      <c r="M220" s="4"/>
      <c r="N220" s="4"/>
      <c r="O220" s="4"/>
      <c r="P220" s="4"/>
      <c r="Q220" s="4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4"/>
      <c r="K221" s="4"/>
      <c r="L221" s="4"/>
      <c r="M221" s="4"/>
      <c r="N221" s="4"/>
      <c r="O221" s="4"/>
      <c r="P221" s="4"/>
      <c r="Q221" s="4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4"/>
      <c r="K222" s="4"/>
      <c r="L222" s="4"/>
      <c r="M222" s="4"/>
      <c r="N222" s="4"/>
      <c r="O222" s="4"/>
      <c r="P222" s="4"/>
      <c r="Q222" s="4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4"/>
      <c r="K223" s="4"/>
      <c r="L223" s="4"/>
      <c r="M223" s="4"/>
      <c r="N223" s="4"/>
      <c r="O223" s="4"/>
      <c r="P223" s="4"/>
      <c r="Q223" s="4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4"/>
      <c r="K224" s="4"/>
      <c r="L224" s="4"/>
      <c r="M224" s="4"/>
      <c r="N224" s="4"/>
      <c r="O224" s="4"/>
      <c r="P224" s="4"/>
      <c r="Q224" s="4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4"/>
      <c r="K225" s="4"/>
      <c r="L225" s="4"/>
      <c r="M225" s="4"/>
      <c r="N225" s="4"/>
      <c r="O225" s="4"/>
      <c r="P225" s="4"/>
      <c r="Q225" s="4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4"/>
      <c r="K226" s="4"/>
      <c r="L226" s="4"/>
      <c r="M226" s="4"/>
      <c r="N226" s="4"/>
      <c r="O226" s="4"/>
      <c r="P226" s="4"/>
      <c r="Q226" s="4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4"/>
      <c r="K227" s="4"/>
      <c r="L227" s="4"/>
      <c r="M227" s="4"/>
      <c r="N227" s="4"/>
      <c r="O227" s="4"/>
      <c r="P227" s="4"/>
      <c r="Q227" s="4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4"/>
      <c r="K228" s="4"/>
      <c r="L228" s="4"/>
      <c r="M228" s="4"/>
      <c r="N228" s="4"/>
      <c r="O228" s="4"/>
      <c r="P228" s="4"/>
      <c r="Q228" s="4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4"/>
      <c r="K229" s="4"/>
      <c r="L229" s="4"/>
      <c r="M229" s="4"/>
      <c r="N229" s="4"/>
      <c r="O229" s="4"/>
      <c r="P229" s="4"/>
      <c r="Q229" s="4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4"/>
      <c r="K230" s="4"/>
      <c r="L230" s="4"/>
      <c r="M230" s="4"/>
      <c r="N230" s="4"/>
      <c r="O230" s="4"/>
      <c r="P230" s="4"/>
      <c r="Q230" s="4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4"/>
      <c r="K231" s="4"/>
      <c r="L231" s="4"/>
      <c r="M231" s="4"/>
      <c r="N231" s="4"/>
      <c r="O231" s="4"/>
      <c r="P231" s="4"/>
      <c r="Q231" s="4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</sheetData>
  <mergeCells count="14">
    <mergeCell ref="G4:H4"/>
    <mergeCell ref="I4:I5"/>
    <mergeCell ref="B24:E24"/>
    <mergeCell ref="B28:I28"/>
    <mergeCell ref="B29:I29"/>
    <mergeCell ref="C30:I30"/>
    <mergeCell ref="C31:I31"/>
    <mergeCell ref="B1:AC1"/>
    <mergeCell ref="B3:I3"/>
    <mergeCell ref="B4:B5"/>
    <mergeCell ref="C4:C5"/>
    <mergeCell ref="D4:D5"/>
    <mergeCell ref="E4:E5"/>
    <mergeCell ref="F4:F5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D69B"/>
    <pageSetUpPr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4.57"/>
    <col customWidth="1" min="3" max="3" width="31.71"/>
    <col customWidth="1" min="4" max="4" width="55.29"/>
    <col customWidth="1" min="5" max="5" width="78.29"/>
    <col customWidth="1" min="6" max="6" width="23.57"/>
    <col customWidth="1" min="7" max="7" width="24.57"/>
    <col customWidth="1" min="8" max="8" width="28.14"/>
    <col customWidth="1" min="9" max="9" width="24.0"/>
    <col customWidth="1" min="10" max="29" width="11.43"/>
  </cols>
  <sheetData>
    <row r="1" ht="14.2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5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ht="39.0" customHeight="1">
      <c r="A3" s="1"/>
      <c r="B3" s="6" t="s">
        <v>1</v>
      </c>
      <c r="J3" s="7"/>
      <c r="K3" s="7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42.0" customHeight="1">
      <c r="A5" s="9"/>
      <c r="B5" s="10" t="s">
        <v>3</v>
      </c>
      <c r="C5" s="10" t="s">
        <v>5</v>
      </c>
      <c r="D5" s="12" t="s">
        <v>6</v>
      </c>
      <c r="E5" s="12" t="s">
        <v>7</v>
      </c>
      <c r="F5" s="14" t="s">
        <v>8</v>
      </c>
      <c r="G5" s="16" t="s">
        <v>10</v>
      </c>
      <c r="H5" s="18" t="s">
        <v>11</v>
      </c>
      <c r="I5" s="20" t="s">
        <v>12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ht="15.0" customHeight="1">
      <c r="A6" s="1"/>
      <c r="B6" s="24">
        <v>1.0</v>
      </c>
      <c r="C6" s="27" t="s">
        <v>16</v>
      </c>
      <c r="D6" s="28" t="s">
        <v>17</v>
      </c>
      <c r="E6" s="34" t="s">
        <v>19</v>
      </c>
      <c r="F6" s="50">
        <f>'Presupuesto Total'!F8</f>
        <v>15000000</v>
      </c>
      <c r="G6" s="53"/>
      <c r="H6" s="63">
        <f t="shared" ref="H6:H9" si="1">F6+G6</f>
        <v>15000000</v>
      </c>
      <c r="I6" s="66">
        <v>5.0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ht="15.0" customHeight="1">
      <c r="A7" s="1"/>
      <c r="B7" s="75">
        <v>2.0</v>
      </c>
      <c r="C7" s="80" t="s">
        <v>53</v>
      </c>
      <c r="D7" s="85" t="s">
        <v>54</v>
      </c>
      <c r="E7" s="85" t="s">
        <v>55</v>
      </c>
      <c r="F7" s="50">
        <f>'Presupuesto Total'!F9</f>
        <v>15000000</v>
      </c>
      <c r="G7" s="91"/>
      <c r="H7" s="63">
        <f t="shared" si="1"/>
        <v>15000000</v>
      </c>
      <c r="I7" s="98">
        <v>5.0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ht="15.0" customHeight="1">
      <c r="A8" s="1"/>
      <c r="B8" s="75">
        <v>3.0</v>
      </c>
      <c r="C8" s="80" t="s">
        <v>73</v>
      </c>
      <c r="D8" s="85" t="s">
        <v>74</v>
      </c>
      <c r="E8" s="85" t="s">
        <v>75</v>
      </c>
      <c r="F8" s="50">
        <f>'Presupuesto Total'!F10</f>
        <v>15000000</v>
      </c>
      <c r="G8" s="91"/>
      <c r="H8" s="63">
        <f t="shared" si="1"/>
        <v>15000000</v>
      </c>
      <c r="I8" s="98">
        <v>5.0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ht="15.0" customHeight="1">
      <c r="A9" s="1"/>
      <c r="B9" s="75">
        <v>4.0</v>
      </c>
      <c r="C9" s="80" t="s">
        <v>79</v>
      </c>
      <c r="D9" s="85" t="s">
        <v>80</v>
      </c>
      <c r="E9" s="85" t="s">
        <v>81</v>
      </c>
      <c r="F9" s="50">
        <f>'Presupuesto Total'!F11</f>
        <v>15000000</v>
      </c>
      <c r="G9" s="91"/>
      <c r="H9" s="63">
        <f t="shared" si="1"/>
        <v>15000000</v>
      </c>
      <c r="I9" s="98">
        <v>5.0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ht="15.0" customHeight="1">
      <c r="A10" s="1"/>
      <c r="B10" s="75"/>
      <c r="C10" s="80"/>
      <c r="D10" s="85"/>
      <c r="E10" s="85"/>
      <c r="F10" s="122"/>
      <c r="G10" s="91"/>
      <c r="H10" s="124"/>
      <c r="I10" s="85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ht="15.0" customHeight="1">
      <c r="A11" s="1"/>
      <c r="B11" s="75"/>
      <c r="C11" s="80"/>
      <c r="D11" s="85"/>
      <c r="E11" s="85"/>
      <c r="F11" s="122"/>
      <c r="G11" s="91"/>
      <c r="H11" s="124"/>
      <c r="I11" s="85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ht="15.0" customHeight="1">
      <c r="A12" s="1"/>
      <c r="B12" s="75"/>
      <c r="C12" s="80"/>
      <c r="D12" s="85"/>
      <c r="E12" s="85"/>
      <c r="F12" s="122"/>
      <c r="G12" s="91"/>
      <c r="H12" s="124"/>
      <c r="I12" s="85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ht="15.0" customHeight="1">
      <c r="A13" s="1"/>
      <c r="B13" s="75"/>
      <c r="C13" s="80"/>
      <c r="D13" s="85"/>
      <c r="E13" s="85"/>
      <c r="F13" s="122"/>
      <c r="G13" s="91"/>
      <c r="H13" s="124"/>
      <c r="I13" s="85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ht="15.0" customHeight="1">
      <c r="A14" s="1"/>
      <c r="B14" s="75"/>
      <c r="C14" s="80"/>
      <c r="D14" s="85"/>
      <c r="E14" s="85"/>
      <c r="F14" s="122"/>
      <c r="G14" s="91"/>
      <c r="H14" s="124"/>
      <c r="I14" s="85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ht="15.0" customHeight="1">
      <c r="A15" s="1"/>
      <c r="B15" s="75"/>
      <c r="C15" s="80"/>
      <c r="D15" s="85"/>
      <c r="E15" s="85"/>
      <c r="F15" s="122"/>
      <c r="G15" s="91"/>
      <c r="H15" s="124"/>
      <c r="I15" s="85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ht="15.0" customHeight="1">
      <c r="A16" s="1"/>
      <c r="B16" s="75"/>
      <c r="C16" s="80"/>
      <c r="D16" s="85"/>
      <c r="E16" s="85"/>
      <c r="F16" s="122"/>
      <c r="G16" s="91"/>
      <c r="H16" s="124"/>
      <c r="I16" s="85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ht="15.0" customHeight="1">
      <c r="A17" s="1"/>
      <c r="B17" s="75"/>
      <c r="C17" s="80"/>
      <c r="D17" s="85"/>
      <c r="E17" s="85"/>
      <c r="F17" s="122"/>
      <c r="G17" s="91"/>
      <c r="H17" s="124"/>
      <c r="I17" s="85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ht="15.0" customHeight="1">
      <c r="A18" s="1"/>
      <c r="B18" s="75"/>
      <c r="C18" s="80"/>
      <c r="D18" s="85"/>
      <c r="E18" s="85"/>
      <c r="F18" s="122"/>
      <c r="G18" s="91"/>
      <c r="H18" s="124"/>
      <c r="I18" s="85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ht="15.0" customHeight="1">
      <c r="A19" s="1"/>
      <c r="B19" s="75"/>
      <c r="C19" s="80"/>
      <c r="D19" s="85"/>
      <c r="E19" s="85"/>
      <c r="F19" s="122"/>
      <c r="G19" s="91"/>
      <c r="H19" s="124"/>
      <c r="I19" s="85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ht="15.0" customHeight="1">
      <c r="A20" s="1"/>
      <c r="B20" s="75"/>
      <c r="C20" s="80"/>
      <c r="D20" s="85"/>
      <c r="E20" s="85"/>
      <c r="F20" s="122"/>
      <c r="G20" s="91"/>
      <c r="H20" s="124"/>
      <c r="I20" s="85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ht="15.0" customHeight="1">
      <c r="A21" s="1"/>
      <c r="B21" s="75"/>
      <c r="C21" s="80"/>
      <c r="D21" s="85"/>
      <c r="E21" s="85"/>
      <c r="F21" s="122"/>
      <c r="G21" s="91"/>
      <c r="H21" s="124"/>
      <c r="I21" s="85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ht="15.0" customHeight="1">
      <c r="A22" s="1"/>
      <c r="B22" s="75"/>
      <c r="C22" s="80"/>
      <c r="D22" s="85"/>
      <c r="E22" s="85"/>
      <c r="F22" s="122"/>
      <c r="G22" s="91"/>
      <c r="H22" s="124"/>
      <c r="I22" s="85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ht="15.0" customHeight="1">
      <c r="A23" s="1"/>
      <c r="B23" s="75"/>
      <c r="C23" s="80"/>
      <c r="D23" s="85"/>
      <c r="E23" s="85"/>
      <c r="F23" s="122"/>
      <c r="G23" s="91"/>
      <c r="H23" s="124"/>
      <c r="I23" s="85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ht="15.0" customHeight="1">
      <c r="A24" s="1"/>
      <c r="B24" s="75"/>
      <c r="C24" s="80"/>
      <c r="D24" s="85"/>
      <c r="E24" s="85"/>
      <c r="F24" s="122"/>
      <c r="G24" s="91"/>
      <c r="H24" s="124"/>
      <c r="I24" s="85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ht="15.0" customHeight="1">
      <c r="A25" s="1"/>
      <c r="B25" s="75"/>
      <c r="C25" s="80"/>
      <c r="D25" s="85"/>
      <c r="E25" s="85"/>
      <c r="F25" s="122"/>
      <c r="G25" s="91"/>
      <c r="H25" s="124"/>
      <c r="I25" s="85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ht="15.0" customHeight="1">
      <c r="A26" s="1"/>
      <c r="B26" s="75"/>
      <c r="C26" s="80"/>
      <c r="D26" s="85"/>
      <c r="E26" s="85"/>
      <c r="F26" s="122"/>
      <c r="G26" s="91"/>
      <c r="H26" s="124"/>
      <c r="I26" s="85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ht="15.0" customHeight="1">
      <c r="A27" s="1"/>
      <c r="B27" s="158"/>
      <c r="C27" s="159"/>
      <c r="D27" s="160"/>
      <c r="E27" s="160"/>
      <c r="F27" s="161"/>
      <c r="G27" s="163"/>
      <c r="H27" s="164"/>
      <c r="I27" s="160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66" t="s">
        <v>112</v>
      </c>
      <c r="C28" s="23"/>
      <c r="D28" s="23"/>
      <c r="E28" s="26"/>
      <c r="F28" s="167">
        <f t="shared" ref="F28:H28" si="2">SUM(F6:F27)</f>
        <v>60000000</v>
      </c>
      <c r="G28" s="169">
        <f t="shared" si="2"/>
        <v>0</v>
      </c>
      <c r="H28" s="173">
        <f t="shared" si="2"/>
        <v>60000000</v>
      </c>
      <c r="I28" s="175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ht="21.0" customHeight="1">
      <c r="A29" s="1"/>
      <c r="B29" s="180"/>
      <c r="C29" s="181"/>
      <c r="D29" s="181"/>
      <c r="E29" s="181"/>
      <c r="F29" s="181"/>
      <c r="G29" s="181"/>
      <c r="H29" s="18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4">
    <mergeCell ref="B1:AC1"/>
    <mergeCell ref="B3:I3"/>
    <mergeCell ref="B28:E28"/>
    <mergeCell ref="B29:H29"/>
  </mergeCells>
  <conditionalFormatting sqref="G6:H27">
    <cfRule type="cellIs" dxfId="1" priority="1" operator="notEqual">
      <formula>#REF!+#REF!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99"/>
    <pageSetUpPr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11.43"/>
    <col customWidth="1" min="3" max="3" width="44.57"/>
    <col customWidth="1" min="4" max="4" width="16.57"/>
    <col customWidth="1" min="5" max="5" width="12.71"/>
    <col customWidth="1" min="6" max="6" width="12.0"/>
    <col customWidth="1" min="7" max="8" width="11.14"/>
    <col customWidth="1" min="9" max="9" width="10.43"/>
    <col customWidth="1" min="10" max="10" width="13.57"/>
    <col customWidth="1" min="11" max="11" width="11.57"/>
    <col customWidth="1" min="12" max="12" width="21.0"/>
    <col customWidth="1" min="13" max="14" width="10.43"/>
    <col customWidth="1" min="15" max="15" width="11.43"/>
    <col customWidth="1" min="16" max="16" width="11.14"/>
    <col customWidth="1" min="17" max="17" width="11.29"/>
    <col customWidth="1" min="18" max="20" width="11.43"/>
    <col customWidth="1" min="21" max="21" width="20.86"/>
    <col customWidth="1" min="22" max="22" width="18.86"/>
    <col customWidth="1" min="23" max="23" width="11.43"/>
    <col customWidth="1" min="24" max="25" width="15.71"/>
  </cols>
  <sheetData>
    <row r="1" ht="14.2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5"/>
      <c r="W1" s="4"/>
      <c r="X1" s="4"/>
      <c r="Y1" s="4"/>
    </row>
    <row r="2" ht="14.25" customHeight="1">
      <c r="A2" s="1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4.25" customHeight="1">
      <c r="A3" s="1"/>
      <c r="B3" s="8" t="s">
        <v>121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5"/>
      <c r="W3" s="4"/>
      <c r="X3" s="4"/>
      <c r="Y3" s="4"/>
    </row>
    <row r="4" ht="15.0" customHeight="1">
      <c r="A4" s="1"/>
      <c r="B4" s="13"/>
      <c r="C4" s="13"/>
      <c r="D4" s="220"/>
      <c r="E4" s="25" t="s">
        <v>15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21"/>
      <c r="V4" s="29" t="s">
        <v>18</v>
      </c>
      <c r="W4" s="4"/>
      <c r="X4" s="4"/>
      <c r="Y4" s="4"/>
    </row>
    <row r="5" ht="15.75" customHeight="1">
      <c r="A5" s="1"/>
      <c r="B5" s="39" t="s">
        <v>122</v>
      </c>
      <c r="C5" s="41" t="s">
        <v>31</v>
      </c>
      <c r="D5" s="51" t="s">
        <v>123</v>
      </c>
      <c r="E5" s="54" t="s">
        <v>124</v>
      </c>
      <c r="F5" s="57"/>
      <c r="G5" s="221" t="s">
        <v>125</v>
      </c>
      <c r="H5" s="57"/>
      <c r="I5" s="54" t="s">
        <v>126</v>
      </c>
      <c r="J5" s="57"/>
      <c r="K5" s="54" t="s">
        <v>127</v>
      </c>
      <c r="L5" s="57"/>
      <c r="M5" s="54" t="s">
        <v>128</v>
      </c>
      <c r="N5" s="57"/>
      <c r="O5" s="54" t="s">
        <v>129</v>
      </c>
      <c r="P5" s="57"/>
      <c r="Q5" s="54" t="s">
        <v>130</v>
      </c>
      <c r="R5" s="57"/>
      <c r="S5" s="60" t="s">
        <v>131</v>
      </c>
      <c r="T5" s="68"/>
      <c r="U5" s="77" t="s">
        <v>52</v>
      </c>
      <c r="V5" s="79"/>
      <c r="W5" s="4"/>
      <c r="X5" s="4"/>
      <c r="Y5" s="4"/>
    </row>
    <row r="6" ht="14.25" customHeight="1">
      <c r="A6" s="1"/>
      <c r="B6" s="86"/>
      <c r="C6" s="56"/>
      <c r="D6" s="86"/>
      <c r="E6" s="90" t="s">
        <v>58</v>
      </c>
      <c r="F6" s="93" t="s">
        <v>132</v>
      </c>
      <c r="G6" s="96" t="s">
        <v>58</v>
      </c>
      <c r="H6" s="222" t="s">
        <v>132</v>
      </c>
      <c r="I6" s="90" t="s">
        <v>58</v>
      </c>
      <c r="J6" s="93" t="s">
        <v>132</v>
      </c>
      <c r="K6" s="90" t="s">
        <v>58</v>
      </c>
      <c r="L6" s="93" t="s">
        <v>132</v>
      </c>
      <c r="M6" s="90" t="s">
        <v>58</v>
      </c>
      <c r="N6" s="93" t="s">
        <v>132</v>
      </c>
      <c r="O6" s="90" t="s">
        <v>58</v>
      </c>
      <c r="P6" s="93" t="s">
        <v>132</v>
      </c>
      <c r="Q6" s="90" t="s">
        <v>58</v>
      </c>
      <c r="R6" s="93" t="s">
        <v>132</v>
      </c>
      <c r="S6" s="96" t="s">
        <v>58</v>
      </c>
      <c r="T6" s="222" t="s">
        <v>132</v>
      </c>
      <c r="U6" s="56"/>
      <c r="V6" s="56"/>
      <c r="W6" s="4"/>
      <c r="X6" s="4"/>
      <c r="Y6" s="4"/>
    </row>
    <row r="7" ht="14.25" customHeight="1">
      <c r="A7" s="1"/>
      <c r="B7" s="103" t="s">
        <v>66</v>
      </c>
      <c r="C7" s="104" t="s">
        <v>67</v>
      </c>
      <c r="D7" s="114">
        <f>'Presupuesto Total'!H7</f>
        <v>897000000</v>
      </c>
      <c r="E7" s="118">
        <v>4.05E8</v>
      </c>
      <c r="F7" s="223">
        <v>3.0E7</v>
      </c>
      <c r="G7" s="224"/>
      <c r="H7" s="225"/>
      <c r="I7" s="226"/>
      <c r="J7" s="119"/>
      <c r="K7" s="226"/>
      <c r="L7" s="119"/>
      <c r="M7" s="226"/>
      <c r="N7" s="119"/>
      <c r="O7" s="226"/>
      <c r="P7" s="119"/>
      <c r="Q7" s="123"/>
      <c r="R7" s="125"/>
      <c r="S7" s="127"/>
      <c r="T7" s="128"/>
      <c r="U7" s="227">
        <f t="shared" ref="U7:U17" si="1">SUM(E7:T7)</f>
        <v>435000000</v>
      </c>
      <c r="V7" s="228">
        <f t="shared" ref="V7:V17" si="2">+D7+U7</f>
        <v>1332000000</v>
      </c>
      <c r="W7" s="4"/>
      <c r="X7" s="134"/>
      <c r="Y7" s="134"/>
    </row>
    <row r="8" ht="14.25" customHeight="1">
      <c r="A8" s="1"/>
      <c r="B8" s="135" t="s">
        <v>63</v>
      </c>
      <c r="C8" s="136" t="s">
        <v>98</v>
      </c>
      <c r="D8" s="114">
        <f>'Presupuesto Total'!H8</f>
        <v>530000000</v>
      </c>
      <c r="E8" s="229">
        <v>1.1E8</v>
      </c>
      <c r="F8" s="223">
        <v>3.0E7</v>
      </c>
      <c r="G8" s="230"/>
      <c r="H8" s="231">
        <v>1.5E8</v>
      </c>
      <c r="I8" s="229">
        <f>'Aporte Participantes Programa'!E9+'Aporte Participantes Programa'!G9</f>
        <v>50000000</v>
      </c>
      <c r="J8" s="232">
        <f>'Aporte Participantes Programa'!F9+'Aporte Participantes Programa'!H9</f>
        <v>150000000</v>
      </c>
      <c r="L8" s="233"/>
      <c r="Q8" s="234"/>
      <c r="R8" s="235">
        <v>2.5E7</v>
      </c>
      <c r="S8" s="236"/>
      <c r="T8" s="237"/>
      <c r="U8" s="227">
        <f t="shared" si="1"/>
        <v>515000000</v>
      </c>
      <c r="V8" s="228">
        <f t="shared" si="2"/>
        <v>1045000000</v>
      </c>
      <c r="W8" s="4"/>
      <c r="X8" s="134"/>
      <c r="Y8" s="134"/>
    </row>
    <row r="9" ht="14.25" customHeight="1">
      <c r="A9" s="1"/>
      <c r="B9" s="135" t="s">
        <v>78</v>
      </c>
      <c r="C9" s="136" t="s">
        <v>107</v>
      </c>
      <c r="D9" s="114">
        <f>'Presupuesto Total'!H9</f>
        <v>530000000</v>
      </c>
      <c r="E9" s="229">
        <v>1.1E8</v>
      </c>
      <c r="F9" s="223">
        <v>3.0E7</v>
      </c>
      <c r="G9" s="199"/>
      <c r="H9" s="200"/>
      <c r="I9" s="183"/>
      <c r="J9" s="198"/>
      <c r="K9" s="146">
        <f>'Aporte Participantes Programa'!E10+'Aporte Participantes Programa'!G10</f>
        <v>50000000</v>
      </c>
      <c r="L9" s="238">
        <f>'Aporte Participantes Programa'!F10+'Aporte Participantes Programa'!H10</f>
        <v>150000000</v>
      </c>
      <c r="M9" s="183"/>
      <c r="N9" s="198"/>
      <c r="O9" s="183"/>
      <c r="P9" s="198"/>
      <c r="Q9" s="183"/>
      <c r="R9" s="233"/>
      <c r="S9" s="199"/>
      <c r="T9" s="239">
        <v>3.0E7</v>
      </c>
      <c r="U9" s="227">
        <f t="shared" si="1"/>
        <v>370000000</v>
      </c>
      <c r="V9" s="240">
        <f t="shared" si="2"/>
        <v>900000000</v>
      </c>
      <c r="W9" s="4"/>
      <c r="X9" s="134"/>
      <c r="Y9" s="134"/>
    </row>
    <row r="10" ht="14.25" customHeight="1">
      <c r="A10" s="1"/>
      <c r="B10" s="135" t="s">
        <v>86</v>
      </c>
      <c r="C10" s="136" t="s">
        <v>114</v>
      </c>
      <c r="D10" s="114">
        <f>'Presupuesto Total'!H10</f>
        <v>528000000</v>
      </c>
      <c r="E10" s="229">
        <v>1.1E8</v>
      </c>
      <c r="F10" s="223">
        <v>3.0E7</v>
      </c>
      <c r="G10" s="199"/>
      <c r="H10" s="200"/>
      <c r="I10" s="183"/>
      <c r="J10" s="198"/>
      <c r="K10" s="183"/>
      <c r="L10" s="198"/>
      <c r="M10" s="230">
        <f>'Aporte Participantes Programa'!E11+'Aporte Participantes Programa'!G11</f>
        <v>50000000</v>
      </c>
      <c r="N10" s="238">
        <f>'Aporte Participantes Programa'!F11+'Aporte Participantes Programa'!H11</f>
        <v>150000000</v>
      </c>
      <c r="O10" s="183"/>
      <c r="P10" s="198"/>
      <c r="Q10" s="183"/>
      <c r="R10" s="198"/>
      <c r="S10" s="199"/>
      <c r="T10" s="200"/>
      <c r="U10" s="227">
        <f t="shared" si="1"/>
        <v>340000000</v>
      </c>
      <c r="V10" s="240">
        <f t="shared" si="2"/>
        <v>868000000</v>
      </c>
      <c r="W10" s="4"/>
      <c r="X10" s="134"/>
      <c r="Y10" s="134"/>
    </row>
    <row r="11" ht="14.25" customHeight="1">
      <c r="A11" s="1"/>
      <c r="B11" s="135" t="s">
        <v>90</v>
      </c>
      <c r="C11" s="136" t="s">
        <v>115</v>
      </c>
      <c r="D11" s="114">
        <f>'Presupuesto Total'!H11</f>
        <v>515000000</v>
      </c>
      <c r="E11" s="229">
        <v>1.1E8</v>
      </c>
      <c r="F11" s="223">
        <v>3.0E7</v>
      </c>
      <c r="G11" s="199"/>
      <c r="H11" s="200"/>
      <c r="I11" s="183"/>
      <c r="J11" s="198"/>
      <c r="K11" s="183"/>
      <c r="L11" s="198"/>
      <c r="M11" s="183"/>
      <c r="N11" s="198"/>
      <c r="O11" s="146">
        <f>'Aporte Participantes Programa'!E12+'Aporte Participantes Programa'!G12</f>
        <v>50000000</v>
      </c>
      <c r="P11" s="238">
        <f>'Aporte Participantes Programa'!F12+'Aporte Participantes Programa'!H12</f>
        <v>150000000</v>
      </c>
      <c r="Q11" s="183"/>
      <c r="R11" s="198"/>
      <c r="S11" s="199"/>
      <c r="T11" s="200"/>
      <c r="U11" s="227">
        <f t="shared" si="1"/>
        <v>340000000</v>
      </c>
      <c r="V11" s="240">
        <f t="shared" si="2"/>
        <v>855000000</v>
      </c>
      <c r="W11" s="4"/>
      <c r="X11" s="134"/>
      <c r="Y11" s="134"/>
    </row>
    <row r="12" ht="14.25" customHeight="1">
      <c r="A12" s="1"/>
      <c r="B12" s="135"/>
      <c r="C12" s="191"/>
      <c r="D12" s="162"/>
      <c r="E12" s="183"/>
      <c r="F12" s="198"/>
      <c r="G12" s="199"/>
      <c r="H12" s="200"/>
      <c r="I12" s="183"/>
      <c r="J12" s="198"/>
      <c r="K12" s="183"/>
      <c r="L12" s="198"/>
      <c r="M12" s="183"/>
      <c r="N12" s="198"/>
      <c r="O12" s="183"/>
      <c r="P12" s="198"/>
      <c r="Q12" s="183"/>
      <c r="R12" s="198"/>
      <c r="S12" s="199"/>
      <c r="T12" s="200"/>
      <c r="U12" s="227">
        <f t="shared" si="1"/>
        <v>0</v>
      </c>
      <c r="V12" s="240">
        <f t="shared" si="2"/>
        <v>0</v>
      </c>
      <c r="W12" s="4"/>
      <c r="X12" s="4"/>
      <c r="Y12" s="4"/>
    </row>
    <row r="13" ht="14.25" customHeight="1">
      <c r="A13" s="1"/>
      <c r="B13" s="135"/>
      <c r="C13" s="191"/>
      <c r="D13" s="162"/>
      <c r="E13" s="183"/>
      <c r="F13" s="198"/>
      <c r="G13" s="199"/>
      <c r="H13" s="200"/>
      <c r="I13" s="183"/>
      <c r="J13" s="198"/>
      <c r="K13" s="183"/>
      <c r="L13" s="198"/>
      <c r="M13" s="183"/>
      <c r="N13" s="198"/>
      <c r="O13" s="183"/>
      <c r="P13" s="198"/>
      <c r="Q13" s="183"/>
      <c r="R13" s="198"/>
      <c r="S13" s="199"/>
      <c r="T13" s="200"/>
      <c r="U13" s="227">
        <f t="shared" si="1"/>
        <v>0</v>
      </c>
      <c r="V13" s="240">
        <f t="shared" si="2"/>
        <v>0</v>
      </c>
      <c r="W13" s="4"/>
      <c r="X13" s="4"/>
      <c r="Y13" s="4"/>
    </row>
    <row r="14" ht="14.25" customHeight="1">
      <c r="A14" s="1"/>
      <c r="B14" s="135"/>
      <c r="C14" s="191"/>
      <c r="D14" s="162"/>
      <c r="E14" s="183"/>
      <c r="F14" s="198"/>
      <c r="G14" s="199"/>
      <c r="H14" s="200"/>
      <c r="I14" s="183"/>
      <c r="J14" s="198"/>
      <c r="K14" s="183"/>
      <c r="L14" s="198"/>
      <c r="M14" s="183"/>
      <c r="N14" s="198"/>
      <c r="O14" s="183"/>
      <c r="P14" s="198"/>
      <c r="Q14" s="183"/>
      <c r="R14" s="198"/>
      <c r="S14" s="199"/>
      <c r="T14" s="200"/>
      <c r="U14" s="227">
        <f t="shared" si="1"/>
        <v>0</v>
      </c>
      <c r="V14" s="240">
        <f t="shared" si="2"/>
        <v>0</v>
      </c>
      <c r="W14" s="4"/>
      <c r="X14" s="4"/>
      <c r="Y14" s="4"/>
    </row>
    <row r="15" ht="14.25" customHeight="1">
      <c r="A15" s="1"/>
      <c r="B15" s="135"/>
      <c r="C15" s="191"/>
      <c r="D15" s="162"/>
      <c r="E15" s="183"/>
      <c r="F15" s="198"/>
      <c r="G15" s="199"/>
      <c r="H15" s="200"/>
      <c r="I15" s="183"/>
      <c r="J15" s="198"/>
      <c r="K15" s="183"/>
      <c r="L15" s="198"/>
      <c r="M15" s="183"/>
      <c r="N15" s="198"/>
      <c r="O15" s="183"/>
      <c r="P15" s="198"/>
      <c r="Q15" s="183"/>
      <c r="R15" s="198"/>
      <c r="S15" s="199"/>
      <c r="T15" s="200"/>
      <c r="U15" s="227">
        <f t="shared" si="1"/>
        <v>0</v>
      </c>
      <c r="V15" s="240">
        <f t="shared" si="2"/>
        <v>0</v>
      </c>
      <c r="W15" s="4"/>
      <c r="X15" s="4"/>
      <c r="Y15" s="4"/>
    </row>
    <row r="16" ht="14.25" customHeight="1">
      <c r="A16" s="1"/>
      <c r="B16" s="135"/>
      <c r="C16" s="191"/>
      <c r="D16" s="162"/>
      <c r="E16" s="183"/>
      <c r="F16" s="198"/>
      <c r="G16" s="199"/>
      <c r="H16" s="200"/>
      <c r="I16" s="183"/>
      <c r="J16" s="198"/>
      <c r="K16" s="183"/>
      <c r="L16" s="198"/>
      <c r="M16" s="183"/>
      <c r="N16" s="198"/>
      <c r="O16" s="183"/>
      <c r="P16" s="198"/>
      <c r="Q16" s="183"/>
      <c r="R16" s="198"/>
      <c r="S16" s="199"/>
      <c r="T16" s="200"/>
      <c r="U16" s="227">
        <f t="shared" si="1"/>
        <v>0</v>
      </c>
      <c r="V16" s="240">
        <f t="shared" si="2"/>
        <v>0</v>
      </c>
      <c r="W16" s="4"/>
      <c r="X16" s="4"/>
      <c r="Y16" s="4"/>
    </row>
    <row r="17" ht="15.0" customHeight="1">
      <c r="A17" s="1"/>
      <c r="B17" s="203"/>
      <c r="C17" s="204"/>
      <c r="D17" s="162"/>
      <c r="E17" s="183"/>
      <c r="F17" s="198"/>
      <c r="G17" s="199"/>
      <c r="H17" s="200"/>
      <c r="I17" s="183"/>
      <c r="J17" s="198"/>
      <c r="K17" s="183"/>
      <c r="L17" s="198"/>
      <c r="M17" s="183"/>
      <c r="N17" s="198"/>
      <c r="O17" s="183"/>
      <c r="P17" s="198"/>
      <c r="Q17" s="183"/>
      <c r="R17" s="198"/>
      <c r="S17" s="199"/>
      <c r="T17" s="200"/>
      <c r="U17" s="227">
        <f t="shared" si="1"/>
        <v>0</v>
      </c>
      <c r="V17" s="240">
        <f t="shared" si="2"/>
        <v>0</v>
      </c>
      <c r="W17" s="4"/>
      <c r="X17" s="4"/>
      <c r="Y17" s="4"/>
    </row>
    <row r="18" ht="14.25" customHeight="1">
      <c r="A18" s="1"/>
      <c r="B18" s="208"/>
      <c r="C18" s="209" t="s">
        <v>120</v>
      </c>
      <c r="D18" s="212">
        <f t="shared" ref="D18:V18" si="3">SUM(D7:D17)</f>
        <v>3000000000</v>
      </c>
      <c r="E18" s="213">
        <f t="shared" si="3"/>
        <v>845000000</v>
      </c>
      <c r="F18" s="214">
        <f t="shared" si="3"/>
        <v>150000000</v>
      </c>
      <c r="G18" s="215">
        <f t="shared" si="3"/>
        <v>0</v>
      </c>
      <c r="H18" s="216">
        <f t="shared" si="3"/>
        <v>150000000</v>
      </c>
      <c r="I18" s="213">
        <f t="shared" si="3"/>
        <v>50000000</v>
      </c>
      <c r="J18" s="214">
        <f t="shared" si="3"/>
        <v>150000000</v>
      </c>
      <c r="K18" s="213">
        <f t="shared" si="3"/>
        <v>50000000</v>
      </c>
      <c r="L18" s="214">
        <f t="shared" si="3"/>
        <v>150000000</v>
      </c>
      <c r="M18" s="213">
        <f t="shared" si="3"/>
        <v>50000000</v>
      </c>
      <c r="N18" s="214">
        <f t="shared" si="3"/>
        <v>150000000</v>
      </c>
      <c r="O18" s="213">
        <f t="shared" si="3"/>
        <v>50000000</v>
      </c>
      <c r="P18" s="214">
        <f t="shared" si="3"/>
        <v>150000000</v>
      </c>
      <c r="Q18" s="213">
        <f t="shared" si="3"/>
        <v>0</v>
      </c>
      <c r="R18" s="214">
        <f t="shared" si="3"/>
        <v>25000000</v>
      </c>
      <c r="S18" s="215">
        <f t="shared" si="3"/>
        <v>0</v>
      </c>
      <c r="T18" s="216">
        <f t="shared" si="3"/>
        <v>30000000</v>
      </c>
      <c r="U18" s="217">
        <f t="shared" si="3"/>
        <v>2000000000</v>
      </c>
      <c r="V18" s="241">
        <f t="shared" si="3"/>
        <v>5000000000</v>
      </c>
      <c r="W18" s="4"/>
      <c r="X18" s="134"/>
      <c r="Y18" s="134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4"/>
      <c r="X37" s="4"/>
      <c r="Y37" s="4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4"/>
      <c r="X38" s="4"/>
      <c r="Y38" s="4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4"/>
      <c r="X39" s="4"/>
      <c r="Y39" s="4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4"/>
      <c r="X40" s="4"/>
      <c r="Y40" s="4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4"/>
      <c r="X41" s="4"/>
      <c r="Y41" s="4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4"/>
      <c r="X42" s="4"/>
      <c r="Y42" s="4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4"/>
      <c r="X43" s="4"/>
      <c r="Y43" s="4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4"/>
      <c r="X44" s="4"/>
      <c r="Y44" s="4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4"/>
      <c r="X45" s="4"/>
      <c r="Y45" s="4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4"/>
      <c r="X46" s="4"/>
      <c r="Y46" s="4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4"/>
      <c r="X47" s="4"/>
      <c r="Y47" s="4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4"/>
      <c r="X48" s="4"/>
      <c r="Y48" s="4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4"/>
      <c r="X49" s="4"/>
      <c r="Y49" s="4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4"/>
      <c r="X50" s="4"/>
      <c r="Y50" s="4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4"/>
      <c r="X51" s="4"/>
      <c r="Y51" s="4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4"/>
      <c r="X52" s="4"/>
      <c r="Y52" s="4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4"/>
      <c r="X53" s="4"/>
      <c r="Y53" s="4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4"/>
      <c r="X54" s="4"/>
      <c r="Y54" s="4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4"/>
      <c r="X55" s="4"/>
      <c r="Y55" s="4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4"/>
      <c r="X56" s="4"/>
      <c r="Y56" s="4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4"/>
      <c r="X57" s="4"/>
      <c r="Y57" s="4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4"/>
      <c r="X58" s="4"/>
      <c r="Y58" s="4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4"/>
      <c r="X59" s="4"/>
      <c r="Y59" s="4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4"/>
      <c r="X60" s="4"/>
      <c r="Y60" s="4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4"/>
      <c r="X61" s="4"/>
      <c r="Y61" s="4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4"/>
      <c r="X62" s="4"/>
      <c r="Y62" s="4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4"/>
      <c r="X63" s="4"/>
      <c r="Y63" s="4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4"/>
      <c r="X64" s="4"/>
      <c r="Y64" s="4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4"/>
      <c r="X65" s="4"/>
      <c r="Y65" s="4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4"/>
      <c r="X66" s="4"/>
      <c r="Y66" s="4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4"/>
      <c r="X67" s="4"/>
      <c r="Y67" s="4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4"/>
      <c r="X68" s="4"/>
      <c r="Y68" s="4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4"/>
      <c r="X69" s="4"/>
      <c r="Y69" s="4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4"/>
      <c r="X70" s="4"/>
      <c r="Y70" s="4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4"/>
      <c r="X71" s="4"/>
      <c r="Y71" s="4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4"/>
      <c r="X72" s="4"/>
      <c r="Y72" s="4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4"/>
      <c r="X73" s="4"/>
      <c r="Y73" s="4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4"/>
      <c r="X74" s="4"/>
      <c r="Y74" s="4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4"/>
      <c r="X75" s="4"/>
      <c r="Y75" s="4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4"/>
      <c r="X76" s="4"/>
      <c r="Y76" s="4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4"/>
      <c r="X77" s="4"/>
      <c r="Y77" s="4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4"/>
      <c r="X78" s="4"/>
      <c r="Y78" s="4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4"/>
      <c r="X79" s="4"/>
      <c r="Y79" s="4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4"/>
      <c r="X80" s="4"/>
      <c r="Y80" s="4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4"/>
      <c r="X81" s="4"/>
      <c r="Y81" s="4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4"/>
      <c r="X82" s="4"/>
      <c r="Y82" s="4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4"/>
      <c r="X83" s="4"/>
      <c r="Y83" s="4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4"/>
      <c r="X84" s="4"/>
      <c r="Y84" s="4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4"/>
      <c r="X85" s="4"/>
      <c r="Y85" s="4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4"/>
      <c r="X86" s="4"/>
      <c r="Y86" s="4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4"/>
      <c r="X87" s="4"/>
      <c r="Y87" s="4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4"/>
      <c r="X88" s="4"/>
      <c r="Y88" s="4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4"/>
      <c r="X89" s="4"/>
      <c r="Y89" s="4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4"/>
      <c r="X90" s="4"/>
      <c r="Y90" s="4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4"/>
      <c r="X91" s="4"/>
      <c r="Y91" s="4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4"/>
      <c r="X92" s="4"/>
      <c r="Y92" s="4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4"/>
      <c r="X93" s="4"/>
      <c r="Y93" s="4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4"/>
      <c r="X94" s="4"/>
      <c r="Y94" s="4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4"/>
      <c r="X95" s="4"/>
      <c r="Y95" s="4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4"/>
      <c r="X96" s="4"/>
      <c r="Y96" s="4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4"/>
      <c r="X97" s="4"/>
      <c r="Y97" s="4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4"/>
      <c r="X98" s="4"/>
      <c r="Y98" s="4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4"/>
      <c r="X99" s="4"/>
      <c r="Y99" s="4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4"/>
      <c r="X100" s="4"/>
      <c r="Y100" s="4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4"/>
      <c r="X101" s="4"/>
      <c r="Y101" s="4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4"/>
      <c r="X102" s="4"/>
      <c r="Y102" s="4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4"/>
      <c r="X103" s="4"/>
      <c r="Y103" s="4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4"/>
      <c r="X104" s="4"/>
      <c r="Y104" s="4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4"/>
      <c r="X105" s="4"/>
      <c r="Y105" s="4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4"/>
      <c r="X106" s="4"/>
      <c r="Y106" s="4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4"/>
      <c r="X107" s="4"/>
      <c r="Y107" s="4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4"/>
      <c r="X108" s="4"/>
      <c r="Y108" s="4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4"/>
      <c r="X109" s="4"/>
      <c r="Y109" s="4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4"/>
      <c r="X110" s="4"/>
      <c r="Y110" s="4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4"/>
      <c r="X111" s="4"/>
      <c r="Y111" s="4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4"/>
      <c r="X112" s="4"/>
      <c r="Y112" s="4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4"/>
      <c r="X113" s="4"/>
      <c r="Y113" s="4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4"/>
      <c r="X114" s="4"/>
      <c r="Y114" s="4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4"/>
      <c r="X115" s="4"/>
      <c r="Y115" s="4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4"/>
      <c r="X116" s="4"/>
      <c r="Y116" s="4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4"/>
      <c r="X117" s="4"/>
      <c r="Y117" s="4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4"/>
      <c r="X118" s="4"/>
      <c r="Y118" s="4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4"/>
      <c r="X119" s="4"/>
      <c r="Y119" s="4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4"/>
      <c r="X120" s="4"/>
      <c r="Y120" s="4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4"/>
      <c r="X121" s="4"/>
      <c r="Y121" s="4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4"/>
      <c r="X122" s="4"/>
      <c r="Y122" s="4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4"/>
      <c r="X123" s="4"/>
      <c r="Y123" s="4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4"/>
      <c r="X124" s="4"/>
      <c r="Y124" s="4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4"/>
      <c r="X125" s="4"/>
      <c r="Y125" s="4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4"/>
      <c r="X126" s="4"/>
      <c r="Y126" s="4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4"/>
      <c r="X127" s="4"/>
      <c r="Y127" s="4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4"/>
      <c r="X128" s="4"/>
      <c r="Y128" s="4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4"/>
      <c r="X129" s="4"/>
      <c r="Y129" s="4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4"/>
      <c r="X130" s="4"/>
      <c r="Y130" s="4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4"/>
      <c r="X131" s="4"/>
      <c r="Y131" s="4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4"/>
      <c r="X132" s="4"/>
      <c r="Y132" s="4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4"/>
      <c r="X133" s="4"/>
      <c r="Y133" s="4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4"/>
      <c r="X134" s="4"/>
      <c r="Y134" s="4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4"/>
      <c r="X135" s="4"/>
      <c r="Y135" s="4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4"/>
      <c r="X136" s="4"/>
      <c r="Y136" s="4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4"/>
      <c r="X137" s="4"/>
      <c r="Y137" s="4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4"/>
      <c r="X138" s="4"/>
      <c r="Y138" s="4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4"/>
      <c r="X139" s="4"/>
      <c r="Y139" s="4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4"/>
      <c r="X140" s="4"/>
      <c r="Y140" s="4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4"/>
      <c r="X141" s="4"/>
      <c r="Y141" s="4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4"/>
      <c r="X142" s="4"/>
      <c r="Y142" s="4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4"/>
      <c r="X143" s="4"/>
      <c r="Y143" s="4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4"/>
      <c r="X144" s="4"/>
      <c r="Y144" s="4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4"/>
      <c r="X145" s="4"/>
      <c r="Y145" s="4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4"/>
      <c r="X146" s="4"/>
      <c r="Y146" s="4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4"/>
      <c r="X147" s="4"/>
      <c r="Y147" s="4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4"/>
      <c r="X148" s="4"/>
      <c r="Y148" s="4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4"/>
      <c r="X149" s="4"/>
      <c r="Y149" s="4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4"/>
      <c r="X150" s="4"/>
      <c r="Y150" s="4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4"/>
      <c r="X151" s="4"/>
      <c r="Y151" s="4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4"/>
      <c r="X152" s="4"/>
      <c r="Y152" s="4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4"/>
      <c r="X153" s="4"/>
      <c r="Y153" s="4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4"/>
      <c r="X154" s="4"/>
      <c r="Y154" s="4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4"/>
      <c r="X155" s="4"/>
      <c r="Y155" s="4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4"/>
      <c r="X156" s="4"/>
      <c r="Y156" s="4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4"/>
      <c r="X157" s="4"/>
      <c r="Y157" s="4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4"/>
      <c r="X158" s="4"/>
      <c r="Y158" s="4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4"/>
      <c r="X159" s="4"/>
      <c r="Y159" s="4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4"/>
      <c r="X160" s="4"/>
      <c r="Y160" s="4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4"/>
      <c r="X161" s="4"/>
      <c r="Y161" s="4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4"/>
      <c r="X162" s="4"/>
      <c r="Y162" s="4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4"/>
      <c r="X163" s="4"/>
      <c r="Y163" s="4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4"/>
      <c r="X164" s="4"/>
      <c r="Y164" s="4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4"/>
      <c r="X165" s="4"/>
      <c r="Y165" s="4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4"/>
      <c r="X166" s="4"/>
      <c r="Y166" s="4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4"/>
      <c r="X167" s="4"/>
      <c r="Y167" s="4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4"/>
      <c r="X168" s="4"/>
      <c r="Y168" s="4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4"/>
      <c r="X169" s="4"/>
      <c r="Y169" s="4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4"/>
      <c r="X170" s="4"/>
      <c r="Y170" s="4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4"/>
      <c r="X171" s="4"/>
      <c r="Y171" s="4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4"/>
      <c r="X172" s="4"/>
      <c r="Y172" s="4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4"/>
      <c r="X173" s="4"/>
      <c r="Y173" s="4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4"/>
      <c r="X174" s="4"/>
      <c r="Y174" s="4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4"/>
      <c r="X175" s="4"/>
      <c r="Y175" s="4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4"/>
      <c r="X176" s="4"/>
      <c r="Y176" s="4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4"/>
      <c r="X177" s="4"/>
      <c r="Y177" s="4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4"/>
      <c r="X178" s="4"/>
      <c r="Y178" s="4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4"/>
      <c r="X179" s="4"/>
      <c r="Y179" s="4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4"/>
      <c r="X180" s="4"/>
      <c r="Y180" s="4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4"/>
      <c r="X181" s="4"/>
      <c r="Y181" s="4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4"/>
      <c r="X182" s="4"/>
      <c r="Y182" s="4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4"/>
      <c r="X183" s="4"/>
      <c r="Y183" s="4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4"/>
      <c r="X184" s="4"/>
      <c r="Y184" s="4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4"/>
      <c r="X185" s="4"/>
      <c r="Y185" s="4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4"/>
      <c r="X186" s="4"/>
      <c r="Y186" s="4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4"/>
      <c r="X187" s="4"/>
      <c r="Y187" s="4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4"/>
      <c r="X188" s="4"/>
      <c r="Y188" s="4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4"/>
      <c r="X189" s="4"/>
      <c r="Y189" s="4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4"/>
      <c r="X190" s="4"/>
      <c r="Y190" s="4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4"/>
      <c r="X191" s="4"/>
      <c r="Y191" s="4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4"/>
      <c r="X192" s="4"/>
      <c r="Y192" s="4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4"/>
      <c r="X193" s="4"/>
      <c r="Y193" s="4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4"/>
      <c r="X194" s="4"/>
      <c r="Y194" s="4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4"/>
      <c r="X195" s="4"/>
      <c r="Y195" s="4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4"/>
      <c r="X196" s="4"/>
      <c r="Y196" s="4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4"/>
      <c r="X197" s="4"/>
      <c r="Y197" s="4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4"/>
      <c r="X198" s="4"/>
      <c r="Y198" s="4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4"/>
      <c r="X199" s="4"/>
      <c r="Y199" s="4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4"/>
      <c r="X200" s="4"/>
      <c r="Y200" s="4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4"/>
      <c r="X201" s="4"/>
      <c r="Y201" s="4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4"/>
      <c r="X202" s="4"/>
      <c r="Y202" s="4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4"/>
      <c r="X203" s="4"/>
      <c r="Y203" s="4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4"/>
      <c r="X204" s="4"/>
      <c r="Y204" s="4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4"/>
      <c r="X205" s="4"/>
      <c r="Y205" s="4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4"/>
      <c r="X206" s="4"/>
      <c r="Y206" s="4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4"/>
      <c r="X207" s="4"/>
      <c r="Y207" s="4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4"/>
      <c r="X208" s="4"/>
      <c r="Y208" s="4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4"/>
      <c r="X209" s="4"/>
      <c r="Y209" s="4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4"/>
      <c r="X210" s="4"/>
      <c r="Y210" s="4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4"/>
      <c r="X211" s="4"/>
      <c r="Y211" s="4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4"/>
      <c r="X212" s="4"/>
      <c r="Y212" s="4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4"/>
      <c r="X213" s="4"/>
      <c r="Y213" s="4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4"/>
      <c r="X214" s="4"/>
      <c r="Y214" s="4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4"/>
      <c r="X215" s="4"/>
      <c r="Y215" s="4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4"/>
      <c r="X216" s="4"/>
      <c r="Y216" s="4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4"/>
      <c r="X217" s="4"/>
      <c r="Y217" s="4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4"/>
      <c r="X218" s="4"/>
      <c r="Y218" s="4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4"/>
      <c r="X219" s="4"/>
      <c r="Y219" s="4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4"/>
      <c r="X220" s="4"/>
      <c r="Y220" s="4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</sheetData>
  <mergeCells count="16">
    <mergeCell ref="E5:F5"/>
    <mergeCell ref="G5:H5"/>
    <mergeCell ref="I5:J5"/>
    <mergeCell ref="K5:L5"/>
    <mergeCell ref="M5:N5"/>
    <mergeCell ref="O5:P5"/>
    <mergeCell ref="Q5:R5"/>
    <mergeCell ref="S5:T5"/>
    <mergeCell ref="B1:V1"/>
    <mergeCell ref="B3:V3"/>
    <mergeCell ref="E4:U4"/>
    <mergeCell ref="V4:V6"/>
    <mergeCell ref="B5:B6"/>
    <mergeCell ref="C5:C6"/>
    <mergeCell ref="D5:D6"/>
    <mergeCell ref="U5:U6"/>
  </mergeCells>
  <conditionalFormatting sqref="D18:V18">
    <cfRule type="cellIs" dxfId="0" priority="1" operator="notEqual">
      <formula>#REF!+#REF!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DB3E2"/>
    <pageSetUpPr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9.71"/>
    <col customWidth="1" min="3" max="3" width="46.29"/>
    <col customWidth="1" min="4" max="4" width="2.86"/>
    <col customWidth="1" min="5" max="5" width="3.0"/>
    <col customWidth="1" min="6" max="7" width="2.71"/>
    <col customWidth="1" min="8" max="8" width="2.29"/>
    <col customWidth="1" min="9" max="9" width="2.0"/>
    <col customWidth="1" min="10" max="10" width="2.43"/>
    <col customWidth="1" min="11" max="12" width="2.57"/>
    <col customWidth="1" min="13" max="13" width="3.43"/>
    <col customWidth="1" min="14" max="63" width="2.71"/>
  </cols>
  <sheetData>
    <row r="1" ht="24.0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5"/>
    </row>
    <row r="2" ht="14.25" customHeight="1">
      <c r="A2" s="1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</row>
    <row r="3" ht="35.25" customHeight="1">
      <c r="A3" s="1"/>
      <c r="B3" s="242" t="s">
        <v>133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5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</row>
    <row r="4" ht="14.25" customHeight="1">
      <c r="A4" s="1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</row>
    <row r="5" ht="14.25" customHeight="1">
      <c r="A5" s="1"/>
      <c r="B5" s="243" t="s">
        <v>134</v>
      </c>
      <c r="C5" s="244" t="s">
        <v>135</v>
      </c>
      <c r="D5" s="245" t="s">
        <v>136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21"/>
      <c r="P5" s="245" t="s">
        <v>137</v>
      </c>
      <c r="Q5" s="19"/>
      <c r="R5" s="19"/>
      <c r="S5" s="19"/>
      <c r="T5" s="19"/>
      <c r="U5" s="19"/>
      <c r="V5" s="19"/>
      <c r="W5" s="19"/>
      <c r="X5" s="19"/>
      <c r="Y5" s="19"/>
      <c r="Z5" s="19"/>
      <c r="AA5" s="246"/>
      <c r="AB5" s="247" t="s">
        <v>138</v>
      </c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21"/>
      <c r="AN5" s="247" t="s">
        <v>139</v>
      </c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21"/>
      <c r="AZ5" s="247" t="s">
        <v>140</v>
      </c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21"/>
    </row>
    <row r="6" ht="14.25" customHeight="1">
      <c r="A6" s="1"/>
      <c r="B6" s="86"/>
      <c r="C6" s="56"/>
      <c r="D6" s="248">
        <v>1.0</v>
      </c>
      <c r="E6" s="249">
        <v>2.0</v>
      </c>
      <c r="F6" s="249">
        <v>3.0</v>
      </c>
      <c r="G6" s="249">
        <v>4.0</v>
      </c>
      <c r="H6" s="249">
        <v>5.0</v>
      </c>
      <c r="I6" s="249">
        <v>6.0</v>
      </c>
      <c r="J6" s="249">
        <v>7.0</v>
      </c>
      <c r="K6" s="249">
        <v>8.0</v>
      </c>
      <c r="L6" s="249">
        <v>9.0</v>
      </c>
      <c r="M6" s="249">
        <v>10.0</v>
      </c>
      <c r="N6" s="249">
        <v>11.0</v>
      </c>
      <c r="O6" s="250">
        <v>12.0</v>
      </c>
      <c r="P6" s="248">
        <v>13.0</v>
      </c>
      <c r="Q6" s="249">
        <v>14.0</v>
      </c>
      <c r="R6" s="249">
        <v>15.0</v>
      </c>
      <c r="S6" s="249">
        <v>16.0</v>
      </c>
      <c r="T6" s="249">
        <v>17.0</v>
      </c>
      <c r="U6" s="249">
        <v>18.0</v>
      </c>
      <c r="V6" s="249">
        <v>19.0</v>
      </c>
      <c r="W6" s="249">
        <v>20.0</v>
      </c>
      <c r="X6" s="249">
        <v>21.0</v>
      </c>
      <c r="Y6" s="249">
        <v>22.0</v>
      </c>
      <c r="Z6" s="249">
        <v>23.0</v>
      </c>
      <c r="AA6" s="251">
        <v>24.0</v>
      </c>
      <c r="AB6" s="252">
        <v>25.0</v>
      </c>
      <c r="AC6" s="249">
        <v>26.0</v>
      </c>
      <c r="AD6" s="249">
        <v>27.0</v>
      </c>
      <c r="AE6" s="249">
        <v>28.0</v>
      </c>
      <c r="AF6" s="249">
        <v>29.0</v>
      </c>
      <c r="AG6" s="249">
        <v>30.0</v>
      </c>
      <c r="AH6" s="249">
        <v>31.0</v>
      </c>
      <c r="AI6" s="249">
        <v>32.0</v>
      </c>
      <c r="AJ6" s="249">
        <v>33.0</v>
      </c>
      <c r="AK6" s="249">
        <v>34.0</v>
      </c>
      <c r="AL6" s="249">
        <v>35.0</v>
      </c>
      <c r="AM6" s="250">
        <v>36.0</v>
      </c>
      <c r="AN6" s="252">
        <v>37.0</v>
      </c>
      <c r="AO6" s="249">
        <v>38.0</v>
      </c>
      <c r="AP6" s="249">
        <v>39.0</v>
      </c>
      <c r="AQ6" s="249">
        <v>40.0</v>
      </c>
      <c r="AR6" s="249">
        <v>41.0</v>
      </c>
      <c r="AS6" s="249">
        <v>42.0</v>
      </c>
      <c r="AT6" s="249">
        <v>43.0</v>
      </c>
      <c r="AU6" s="249">
        <v>44.0</v>
      </c>
      <c r="AV6" s="249">
        <v>45.0</v>
      </c>
      <c r="AW6" s="249">
        <v>46.0</v>
      </c>
      <c r="AX6" s="249">
        <v>47.0</v>
      </c>
      <c r="AY6" s="250">
        <v>48.0</v>
      </c>
      <c r="AZ6" s="252">
        <v>49.0</v>
      </c>
      <c r="BA6" s="249">
        <v>50.0</v>
      </c>
      <c r="BB6" s="249">
        <v>51.0</v>
      </c>
      <c r="BC6" s="249">
        <v>52.0</v>
      </c>
      <c r="BD6" s="249">
        <v>53.0</v>
      </c>
      <c r="BE6" s="249">
        <v>54.0</v>
      </c>
      <c r="BF6" s="249">
        <v>55.0</v>
      </c>
      <c r="BG6" s="249">
        <v>56.0</v>
      </c>
      <c r="BH6" s="249">
        <v>57.0</v>
      </c>
      <c r="BI6" s="249">
        <v>58.0</v>
      </c>
      <c r="BJ6" s="249">
        <v>59.0</v>
      </c>
      <c r="BK6" s="250">
        <v>60.0</v>
      </c>
    </row>
    <row r="7" ht="14.25" customHeight="1">
      <c r="A7" s="1"/>
      <c r="B7" s="24" t="s">
        <v>66</v>
      </c>
      <c r="C7" s="253" t="s">
        <v>67</v>
      </c>
      <c r="D7" s="254"/>
      <c r="E7" s="255"/>
      <c r="F7" s="255"/>
      <c r="G7" s="255"/>
      <c r="H7" s="255"/>
      <c r="I7" s="255"/>
      <c r="J7" s="255"/>
      <c r="K7" s="255"/>
      <c r="L7" s="255"/>
      <c r="M7" s="255"/>
      <c r="N7" s="255"/>
      <c r="O7" s="256"/>
      <c r="P7" s="254"/>
      <c r="Q7" s="255"/>
      <c r="R7" s="255"/>
      <c r="S7" s="255"/>
      <c r="T7" s="255"/>
      <c r="U7" s="255"/>
      <c r="V7" s="255"/>
      <c r="W7" s="255"/>
      <c r="X7" s="255"/>
      <c r="Y7" s="255"/>
      <c r="Z7" s="255"/>
      <c r="AA7" s="257"/>
      <c r="AB7" s="258"/>
      <c r="AC7" s="255"/>
      <c r="AD7" s="255"/>
      <c r="AE7" s="255"/>
      <c r="AF7" s="255"/>
      <c r="AG7" s="255"/>
      <c r="AH7" s="255"/>
      <c r="AI7" s="255"/>
      <c r="AJ7" s="255"/>
      <c r="AK7" s="255"/>
      <c r="AL7" s="255"/>
      <c r="AM7" s="256"/>
      <c r="AN7" s="258"/>
      <c r="AO7" s="255"/>
      <c r="AP7" s="255"/>
      <c r="AQ7" s="255"/>
      <c r="AR7" s="255"/>
      <c r="AS7" s="255"/>
      <c r="AT7" s="255"/>
      <c r="AU7" s="255"/>
      <c r="AV7" s="255"/>
      <c r="AW7" s="255"/>
      <c r="AX7" s="255"/>
      <c r="AY7" s="256"/>
      <c r="AZ7" s="258"/>
      <c r="BA7" s="255"/>
      <c r="BB7" s="255"/>
      <c r="BC7" s="255"/>
      <c r="BD7" s="255"/>
      <c r="BE7" s="255"/>
      <c r="BF7" s="255"/>
      <c r="BG7" s="255"/>
      <c r="BH7" s="255"/>
      <c r="BI7" s="255"/>
      <c r="BJ7" s="255"/>
      <c r="BK7" s="256"/>
    </row>
    <row r="8" ht="14.25" customHeight="1">
      <c r="A8" s="1"/>
      <c r="B8" s="75" t="s">
        <v>63</v>
      </c>
      <c r="C8" s="136" t="s">
        <v>98</v>
      </c>
      <c r="D8" s="259"/>
      <c r="E8" s="260"/>
      <c r="F8" s="260"/>
      <c r="G8" s="261"/>
      <c r="H8" s="261"/>
      <c r="I8" s="261"/>
      <c r="J8" s="261"/>
      <c r="K8" s="261"/>
      <c r="L8" s="261"/>
      <c r="M8" s="261"/>
      <c r="N8" s="261"/>
      <c r="O8" s="262"/>
      <c r="P8" s="263"/>
      <c r="Q8" s="261"/>
      <c r="R8" s="261"/>
      <c r="S8" s="261"/>
      <c r="T8" s="261"/>
      <c r="U8" s="261"/>
      <c r="V8" s="261"/>
      <c r="W8" s="261"/>
      <c r="X8" s="261"/>
      <c r="Y8" s="261"/>
      <c r="Z8" s="261"/>
      <c r="AA8" s="264"/>
      <c r="AB8" s="265"/>
      <c r="AC8" s="261"/>
      <c r="AD8" s="261"/>
      <c r="AE8" s="261"/>
      <c r="AF8" s="261"/>
      <c r="AG8" s="261"/>
      <c r="AH8" s="261"/>
      <c r="AI8" s="261"/>
      <c r="AJ8" s="261"/>
      <c r="AK8" s="261"/>
      <c r="AL8" s="261"/>
      <c r="AM8" s="262"/>
      <c r="AN8" s="265"/>
      <c r="AO8" s="261"/>
      <c r="AP8" s="261"/>
      <c r="AQ8" s="261"/>
      <c r="AR8" s="261"/>
      <c r="AS8" s="261"/>
      <c r="AT8" s="261"/>
      <c r="AU8" s="261"/>
      <c r="AV8" s="261"/>
      <c r="AW8" s="261"/>
      <c r="AX8" s="261"/>
      <c r="AY8" s="262"/>
      <c r="AZ8" s="261"/>
      <c r="BA8" s="261"/>
      <c r="BB8" s="262"/>
      <c r="BC8" s="261"/>
      <c r="BD8" s="262"/>
      <c r="BE8" s="266"/>
      <c r="BF8" s="266"/>
      <c r="BG8" s="266"/>
      <c r="BH8" s="266"/>
      <c r="BI8" s="266"/>
      <c r="BJ8" s="266"/>
      <c r="BK8" s="267"/>
    </row>
    <row r="9" ht="14.25" customHeight="1">
      <c r="A9" s="1"/>
      <c r="B9" s="75" t="s">
        <v>78</v>
      </c>
      <c r="C9" s="136" t="s">
        <v>107</v>
      </c>
      <c r="D9" s="268"/>
      <c r="E9" s="266"/>
      <c r="F9" s="266"/>
      <c r="G9" s="269"/>
      <c r="H9" s="269"/>
      <c r="I9" s="269"/>
      <c r="J9" s="269"/>
      <c r="K9" s="269"/>
      <c r="L9" s="269"/>
      <c r="M9" s="269"/>
      <c r="N9" s="269"/>
      <c r="O9" s="270"/>
      <c r="P9" s="271"/>
      <c r="Q9" s="269"/>
      <c r="R9" s="269"/>
      <c r="S9" s="269"/>
      <c r="T9" s="269"/>
      <c r="U9" s="269"/>
      <c r="V9" s="269"/>
      <c r="W9" s="269"/>
      <c r="X9" s="269"/>
      <c r="Y9" s="269"/>
      <c r="Z9" s="269"/>
      <c r="AA9" s="272"/>
      <c r="AB9" s="273"/>
      <c r="AC9" s="269"/>
      <c r="AD9" s="269"/>
      <c r="AE9" s="269"/>
      <c r="AF9" s="269"/>
      <c r="AG9" s="269"/>
      <c r="AH9" s="269"/>
      <c r="AI9" s="269"/>
      <c r="AJ9" s="269"/>
      <c r="AK9" s="269"/>
      <c r="AL9" s="269"/>
      <c r="AM9" s="270"/>
      <c r="AN9" s="273"/>
      <c r="AO9" s="269"/>
      <c r="AP9" s="269"/>
      <c r="AQ9" s="269"/>
      <c r="AR9" s="269"/>
      <c r="AS9" s="269"/>
      <c r="AT9" s="269"/>
      <c r="AU9" s="269"/>
      <c r="AV9" s="269"/>
      <c r="AW9" s="269"/>
      <c r="AX9" s="269"/>
      <c r="AY9" s="270"/>
      <c r="AZ9" s="273"/>
      <c r="BA9" s="269"/>
      <c r="BB9" s="269"/>
      <c r="BC9" s="269"/>
      <c r="BD9" s="269"/>
      <c r="BE9" s="266"/>
      <c r="BF9" s="266"/>
      <c r="BG9" s="266"/>
      <c r="BH9" s="266"/>
      <c r="BI9" s="266"/>
      <c r="BJ9" s="266"/>
      <c r="BK9" s="267"/>
    </row>
    <row r="10" ht="14.25" customHeight="1">
      <c r="A10" s="1"/>
      <c r="B10" s="75" t="s">
        <v>86</v>
      </c>
      <c r="C10" s="136" t="s">
        <v>114</v>
      </c>
      <c r="D10" s="268"/>
      <c r="E10" s="266"/>
      <c r="F10" s="266"/>
      <c r="G10" s="263"/>
      <c r="H10" s="261"/>
      <c r="I10" s="261"/>
      <c r="J10" s="263"/>
      <c r="K10" s="261"/>
      <c r="L10" s="261"/>
      <c r="M10" s="263"/>
      <c r="N10" s="261"/>
      <c r="O10" s="261"/>
      <c r="P10" s="263"/>
      <c r="Q10" s="261"/>
      <c r="R10" s="261"/>
      <c r="S10" s="261"/>
      <c r="T10" s="261"/>
      <c r="U10" s="261"/>
      <c r="V10" s="261"/>
      <c r="W10" s="261"/>
      <c r="X10" s="261"/>
      <c r="Y10" s="261"/>
      <c r="Z10" s="261"/>
      <c r="AA10" s="264"/>
      <c r="AB10" s="265"/>
      <c r="AC10" s="261"/>
      <c r="AD10" s="261"/>
      <c r="AE10" s="261"/>
      <c r="AF10" s="261"/>
      <c r="AG10" s="261"/>
      <c r="AH10" s="261"/>
      <c r="AI10" s="261"/>
      <c r="AJ10" s="261"/>
      <c r="AK10" s="261"/>
      <c r="AL10" s="261"/>
      <c r="AM10" s="262"/>
      <c r="AN10" s="265"/>
      <c r="AO10" s="261"/>
      <c r="AP10" s="261"/>
      <c r="AQ10" s="261"/>
      <c r="AR10" s="261"/>
      <c r="AS10" s="261"/>
      <c r="AT10" s="261"/>
      <c r="AU10" s="261"/>
      <c r="AV10" s="261"/>
      <c r="AW10" s="261"/>
      <c r="AX10" s="261"/>
      <c r="AY10" s="262"/>
      <c r="AZ10" s="265"/>
      <c r="BA10" s="261"/>
      <c r="BB10" s="261"/>
      <c r="BC10" s="261"/>
      <c r="BD10" s="261"/>
      <c r="BE10" s="266"/>
      <c r="BF10" s="266"/>
      <c r="BG10" s="266"/>
      <c r="BH10" s="266"/>
      <c r="BI10" s="260"/>
      <c r="BJ10" s="260"/>
      <c r="BK10" s="274"/>
    </row>
    <row r="11" ht="14.25" customHeight="1">
      <c r="A11" s="1"/>
      <c r="B11" s="75" t="s">
        <v>90</v>
      </c>
      <c r="C11" s="136" t="s">
        <v>115</v>
      </c>
      <c r="D11" s="268"/>
      <c r="E11" s="266"/>
      <c r="F11" s="266"/>
      <c r="G11" s="269"/>
      <c r="H11" s="269"/>
      <c r="I11" s="269"/>
      <c r="J11" s="269"/>
      <c r="K11" s="269"/>
      <c r="L11" s="269"/>
      <c r="M11" s="269"/>
      <c r="N11" s="269"/>
      <c r="O11" s="269"/>
      <c r="P11" s="269"/>
      <c r="Q11" s="269"/>
      <c r="R11" s="269"/>
      <c r="S11" s="269"/>
      <c r="T11" s="269"/>
      <c r="U11" s="269"/>
      <c r="V11" s="269"/>
      <c r="W11" s="269"/>
      <c r="X11" s="269"/>
      <c r="Y11" s="269"/>
      <c r="Z11" s="269"/>
      <c r="AA11" s="269"/>
      <c r="AB11" s="269"/>
      <c r="AC11" s="269"/>
      <c r="AD11" s="269"/>
      <c r="AE11" s="269"/>
      <c r="AF11" s="269"/>
      <c r="AG11" s="269"/>
      <c r="AH11" s="269"/>
      <c r="AI11" s="269"/>
      <c r="AJ11" s="269"/>
      <c r="AK11" s="269"/>
      <c r="AL11" s="269"/>
      <c r="AM11" s="270"/>
      <c r="AN11" s="273"/>
      <c r="AO11" s="269"/>
      <c r="AP11" s="269"/>
      <c r="AQ11" s="269"/>
      <c r="AR11" s="269"/>
      <c r="AS11" s="269"/>
      <c r="AT11" s="269"/>
      <c r="AU11" s="269"/>
      <c r="AV11" s="269"/>
      <c r="AW11" s="269"/>
      <c r="AX11" s="269"/>
      <c r="AY11" s="270"/>
      <c r="AZ11" s="273"/>
      <c r="BA11" s="269"/>
      <c r="BB11" s="269"/>
      <c r="BC11" s="269"/>
      <c r="BD11" s="269"/>
      <c r="BE11" s="266"/>
      <c r="BF11" s="266"/>
      <c r="BG11" s="266"/>
      <c r="BH11" s="266"/>
      <c r="BI11" s="260"/>
      <c r="BJ11" s="260"/>
      <c r="BK11" s="274"/>
    </row>
    <row r="12" ht="14.25" customHeight="1">
      <c r="A12" s="1"/>
      <c r="B12" s="75"/>
      <c r="C12" s="171"/>
      <c r="D12" s="268"/>
      <c r="E12" s="266"/>
      <c r="F12" s="266"/>
      <c r="G12" s="266"/>
      <c r="H12" s="266"/>
      <c r="I12" s="266"/>
      <c r="J12" s="266"/>
      <c r="K12" s="266"/>
      <c r="L12" s="266"/>
      <c r="M12" s="266"/>
      <c r="N12" s="266"/>
      <c r="O12" s="267"/>
      <c r="P12" s="268"/>
      <c r="Q12" s="266"/>
      <c r="R12" s="266"/>
      <c r="S12" s="266"/>
      <c r="T12" s="266"/>
      <c r="U12" s="266"/>
      <c r="V12" s="266"/>
      <c r="W12" s="266"/>
      <c r="X12" s="266"/>
      <c r="Y12" s="266"/>
      <c r="Z12" s="266"/>
      <c r="AA12" s="275"/>
      <c r="AB12" s="276"/>
      <c r="AC12" s="266"/>
      <c r="AD12" s="266"/>
      <c r="AE12" s="266"/>
      <c r="AF12" s="266"/>
      <c r="AG12" s="266"/>
      <c r="AH12" s="266"/>
      <c r="AI12" s="266"/>
      <c r="AJ12" s="266"/>
      <c r="AK12" s="266"/>
      <c r="AL12" s="266"/>
      <c r="AM12" s="267"/>
      <c r="AN12" s="276"/>
      <c r="AO12" s="266"/>
      <c r="AP12" s="266"/>
      <c r="AQ12" s="266"/>
      <c r="AR12" s="266"/>
      <c r="AS12" s="266"/>
      <c r="AT12" s="266"/>
      <c r="AU12" s="266"/>
      <c r="AV12" s="266"/>
      <c r="AW12" s="266"/>
      <c r="AX12" s="266"/>
      <c r="AY12" s="267"/>
      <c r="AZ12" s="276"/>
      <c r="BA12" s="266"/>
      <c r="BB12" s="266"/>
      <c r="BC12" s="266"/>
      <c r="BD12" s="266"/>
      <c r="BE12" s="266"/>
      <c r="BF12" s="266"/>
      <c r="BG12" s="266"/>
      <c r="BH12" s="266"/>
      <c r="BI12" s="266"/>
      <c r="BJ12" s="266"/>
      <c r="BK12" s="267"/>
    </row>
    <row r="13" ht="14.25" customHeight="1">
      <c r="A13" s="1"/>
      <c r="B13" s="75"/>
      <c r="C13" s="171"/>
      <c r="D13" s="268"/>
      <c r="E13" s="266"/>
      <c r="F13" s="266"/>
      <c r="G13" s="266"/>
      <c r="H13" s="266"/>
      <c r="I13" s="266"/>
      <c r="J13" s="266"/>
      <c r="K13" s="266"/>
      <c r="L13" s="266"/>
      <c r="M13" s="266"/>
      <c r="N13" s="266"/>
      <c r="O13" s="267"/>
      <c r="P13" s="268"/>
      <c r="Q13" s="266"/>
      <c r="R13" s="266"/>
      <c r="S13" s="266"/>
      <c r="T13" s="266"/>
      <c r="U13" s="266"/>
      <c r="V13" s="266"/>
      <c r="W13" s="266"/>
      <c r="X13" s="266"/>
      <c r="Y13" s="266"/>
      <c r="Z13" s="266"/>
      <c r="AA13" s="275"/>
      <c r="AB13" s="276"/>
      <c r="AC13" s="266"/>
      <c r="AD13" s="266"/>
      <c r="AE13" s="266"/>
      <c r="AF13" s="266"/>
      <c r="AG13" s="266"/>
      <c r="AH13" s="266"/>
      <c r="AI13" s="266"/>
      <c r="AJ13" s="266"/>
      <c r="AK13" s="266"/>
      <c r="AL13" s="266"/>
      <c r="AM13" s="267"/>
      <c r="AN13" s="276"/>
      <c r="AO13" s="266"/>
      <c r="AP13" s="266"/>
      <c r="AQ13" s="266"/>
      <c r="AR13" s="266"/>
      <c r="AS13" s="266"/>
      <c r="AT13" s="266"/>
      <c r="AU13" s="266"/>
      <c r="AV13" s="266"/>
      <c r="AW13" s="266"/>
      <c r="AX13" s="266"/>
      <c r="AY13" s="267"/>
      <c r="AZ13" s="276"/>
      <c r="BA13" s="266"/>
      <c r="BB13" s="266"/>
      <c r="BC13" s="266"/>
      <c r="BD13" s="266"/>
      <c r="BE13" s="266"/>
      <c r="BF13" s="266"/>
      <c r="BG13" s="266"/>
      <c r="BH13" s="266"/>
      <c r="BI13" s="266"/>
      <c r="BJ13" s="266"/>
      <c r="BK13" s="267"/>
    </row>
    <row r="14" ht="14.25" customHeight="1">
      <c r="A14" s="1"/>
      <c r="B14" s="75"/>
      <c r="C14" s="171"/>
      <c r="D14" s="268"/>
      <c r="E14" s="266"/>
      <c r="F14" s="266"/>
      <c r="G14" s="266"/>
      <c r="H14" s="266"/>
      <c r="I14" s="266"/>
      <c r="J14" s="266"/>
      <c r="K14" s="266"/>
      <c r="L14" s="266"/>
      <c r="M14" s="266"/>
      <c r="N14" s="266"/>
      <c r="O14" s="267"/>
      <c r="P14" s="268"/>
      <c r="Q14" s="266"/>
      <c r="R14" s="266"/>
      <c r="S14" s="266"/>
      <c r="T14" s="266"/>
      <c r="U14" s="266"/>
      <c r="V14" s="266"/>
      <c r="W14" s="266"/>
      <c r="X14" s="266"/>
      <c r="Y14" s="266"/>
      <c r="Z14" s="266"/>
      <c r="AA14" s="275"/>
      <c r="AB14" s="276"/>
      <c r="AC14" s="266"/>
      <c r="AD14" s="266"/>
      <c r="AE14" s="266"/>
      <c r="AF14" s="266"/>
      <c r="AG14" s="266"/>
      <c r="AH14" s="266"/>
      <c r="AI14" s="266"/>
      <c r="AJ14" s="266"/>
      <c r="AK14" s="266"/>
      <c r="AL14" s="266"/>
      <c r="AM14" s="267"/>
      <c r="AN14" s="276"/>
      <c r="AO14" s="266"/>
      <c r="AP14" s="266"/>
      <c r="AQ14" s="266"/>
      <c r="AR14" s="266"/>
      <c r="AS14" s="266"/>
      <c r="AT14" s="266"/>
      <c r="AU14" s="266"/>
      <c r="AV14" s="266"/>
      <c r="AW14" s="266"/>
      <c r="AX14" s="266"/>
      <c r="AY14" s="267"/>
      <c r="AZ14" s="276"/>
      <c r="BA14" s="266"/>
      <c r="BB14" s="266"/>
      <c r="BC14" s="266"/>
      <c r="BD14" s="266"/>
      <c r="BE14" s="266"/>
      <c r="BF14" s="266"/>
      <c r="BG14" s="266"/>
      <c r="BH14" s="266"/>
      <c r="BI14" s="266"/>
      <c r="BJ14" s="266"/>
      <c r="BK14" s="267"/>
    </row>
    <row r="15" ht="14.25" customHeight="1">
      <c r="A15" s="1"/>
      <c r="B15" s="75"/>
      <c r="C15" s="171"/>
      <c r="D15" s="268"/>
      <c r="E15" s="266"/>
      <c r="F15" s="266"/>
      <c r="G15" s="266"/>
      <c r="H15" s="266"/>
      <c r="I15" s="266"/>
      <c r="J15" s="266"/>
      <c r="K15" s="266"/>
      <c r="L15" s="266"/>
      <c r="M15" s="266"/>
      <c r="N15" s="266"/>
      <c r="O15" s="267"/>
      <c r="P15" s="268"/>
      <c r="Q15" s="266"/>
      <c r="R15" s="266"/>
      <c r="S15" s="266"/>
      <c r="T15" s="266"/>
      <c r="U15" s="266"/>
      <c r="V15" s="266"/>
      <c r="W15" s="266"/>
      <c r="X15" s="266"/>
      <c r="Y15" s="266"/>
      <c r="Z15" s="266"/>
      <c r="AA15" s="275"/>
      <c r="AB15" s="276"/>
      <c r="AC15" s="266"/>
      <c r="AD15" s="266"/>
      <c r="AE15" s="266"/>
      <c r="AF15" s="266"/>
      <c r="AG15" s="266"/>
      <c r="AH15" s="266"/>
      <c r="AI15" s="266"/>
      <c r="AJ15" s="266"/>
      <c r="AK15" s="266"/>
      <c r="AL15" s="266"/>
      <c r="AM15" s="267"/>
      <c r="AN15" s="276"/>
      <c r="AO15" s="266"/>
      <c r="AP15" s="266"/>
      <c r="AQ15" s="266"/>
      <c r="AR15" s="266"/>
      <c r="AS15" s="266"/>
      <c r="AT15" s="266"/>
      <c r="AU15" s="266"/>
      <c r="AV15" s="266"/>
      <c r="AW15" s="266"/>
      <c r="AX15" s="266"/>
      <c r="AY15" s="267"/>
      <c r="AZ15" s="276"/>
      <c r="BA15" s="266"/>
      <c r="BB15" s="266"/>
      <c r="BC15" s="266"/>
      <c r="BD15" s="266"/>
      <c r="BE15" s="266"/>
      <c r="BF15" s="266"/>
      <c r="BG15" s="266"/>
      <c r="BH15" s="266"/>
      <c r="BI15" s="266"/>
      <c r="BJ15" s="266"/>
      <c r="BK15" s="267"/>
    </row>
    <row r="16" ht="14.25" customHeight="1">
      <c r="A16" s="1"/>
      <c r="B16" s="75"/>
      <c r="C16" s="171"/>
      <c r="D16" s="268"/>
      <c r="E16" s="266"/>
      <c r="F16" s="266"/>
      <c r="G16" s="266"/>
      <c r="H16" s="266"/>
      <c r="I16" s="266"/>
      <c r="J16" s="266"/>
      <c r="K16" s="266"/>
      <c r="L16" s="266"/>
      <c r="M16" s="266"/>
      <c r="N16" s="266"/>
      <c r="O16" s="267"/>
      <c r="P16" s="268"/>
      <c r="Q16" s="266"/>
      <c r="R16" s="266"/>
      <c r="S16" s="266"/>
      <c r="T16" s="266"/>
      <c r="U16" s="266"/>
      <c r="V16" s="266"/>
      <c r="W16" s="266"/>
      <c r="X16" s="266"/>
      <c r="Y16" s="266"/>
      <c r="Z16" s="266"/>
      <c r="AA16" s="275"/>
      <c r="AB16" s="276"/>
      <c r="AC16" s="266"/>
      <c r="AD16" s="266"/>
      <c r="AE16" s="266"/>
      <c r="AF16" s="266"/>
      <c r="AG16" s="266"/>
      <c r="AH16" s="266"/>
      <c r="AI16" s="266"/>
      <c r="AJ16" s="266"/>
      <c r="AK16" s="266"/>
      <c r="AL16" s="266"/>
      <c r="AM16" s="267"/>
      <c r="AN16" s="276"/>
      <c r="AO16" s="266"/>
      <c r="AP16" s="266"/>
      <c r="AQ16" s="266"/>
      <c r="AR16" s="266"/>
      <c r="AS16" s="266"/>
      <c r="AT16" s="266"/>
      <c r="AU16" s="266"/>
      <c r="AV16" s="266"/>
      <c r="AW16" s="266"/>
      <c r="AX16" s="266"/>
      <c r="AY16" s="267"/>
      <c r="AZ16" s="276"/>
      <c r="BA16" s="266"/>
      <c r="BB16" s="266"/>
      <c r="BC16" s="266"/>
      <c r="BD16" s="266"/>
      <c r="BE16" s="266"/>
      <c r="BF16" s="266"/>
      <c r="BG16" s="266"/>
      <c r="BH16" s="266"/>
      <c r="BI16" s="266"/>
      <c r="BJ16" s="266"/>
      <c r="BK16" s="267"/>
    </row>
    <row r="17" ht="15.0" customHeight="1">
      <c r="A17" s="1"/>
      <c r="B17" s="80"/>
      <c r="C17" s="171"/>
      <c r="D17" s="268"/>
      <c r="E17" s="266"/>
      <c r="F17" s="266"/>
      <c r="G17" s="266"/>
      <c r="H17" s="266"/>
      <c r="I17" s="266"/>
      <c r="J17" s="266"/>
      <c r="K17" s="266"/>
      <c r="L17" s="266"/>
      <c r="M17" s="266"/>
      <c r="N17" s="266"/>
      <c r="O17" s="267"/>
      <c r="P17" s="268"/>
      <c r="Q17" s="266"/>
      <c r="R17" s="266"/>
      <c r="S17" s="266"/>
      <c r="T17" s="266"/>
      <c r="U17" s="266"/>
      <c r="V17" s="266"/>
      <c r="W17" s="266"/>
      <c r="X17" s="266"/>
      <c r="Y17" s="266"/>
      <c r="Z17" s="266"/>
      <c r="AA17" s="275"/>
      <c r="AB17" s="276"/>
      <c r="AC17" s="266"/>
      <c r="AD17" s="266"/>
      <c r="AE17" s="266"/>
      <c r="AF17" s="266"/>
      <c r="AG17" s="266"/>
      <c r="AH17" s="266"/>
      <c r="AI17" s="266"/>
      <c r="AJ17" s="266"/>
      <c r="AK17" s="266"/>
      <c r="AL17" s="266"/>
      <c r="AM17" s="267"/>
      <c r="AN17" s="276"/>
      <c r="AO17" s="266"/>
      <c r="AP17" s="266"/>
      <c r="AQ17" s="266"/>
      <c r="AR17" s="266"/>
      <c r="AS17" s="266"/>
      <c r="AT17" s="266"/>
      <c r="AU17" s="266"/>
      <c r="AV17" s="266"/>
      <c r="AW17" s="266"/>
      <c r="AX17" s="266"/>
      <c r="AY17" s="267"/>
      <c r="AZ17" s="276"/>
      <c r="BA17" s="266"/>
      <c r="BB17" s="266"/>
      <c r="BC17" s="266"/>
      <c r="BD17" s="266"/>
      <c r="BE17" s="266"/>
      <c r="BF17" s="266"/>
      <c r="BG17" s="266"/>
      <c r="BH17" s="266"/>
      <c r="BI17" s="266"/>
      <c r="BJ17" s="266"/>
      <c r="BK17" s="267"/>
    </row>
    <row r="18" ht="14.25" customHeight="1">
      <c r="A18" s="1"/>
      <c r="B18" s="80"/>
      <c r="C18" s="171"/>
      <c r="D18" s="268"/>
      <c r="E18" s="266"/>
      <c r="F18" s="266"/>
      <c r="G18" s="266"/>
      <c r="H18" s="266"/>
      <c r="I18" s="266"/>
      <c r="J18" s="266"/>
      <c r="K18" s="266"/>
      <c r="L18" s="266"/>
      <c r="M18" s="266"/>
      <c r="N18" s="266"/>
      <c r="O18" s="267"/>
      <c r="P18" s="268"/>
      <c r="Q18" s="266"/>
      <c r="R18" s="266"/>
      <c r="S18" s="266"/>
      <c r="T18" s="266"/>
      <c r="U18" s="266"/>
      <c r="V18" s="266"/>
      <c r="W18" s="266"/>
      <c r="X18" s="266"/>
      <c r="Y18" s="266"/>
      <c r="Z18" s="266"/>
      <c r="AA18" s="275"/>
      <c r="AB18" s="276"/>
      <c r="AC18" s="266"/>
      <c r="AD18" s="266"/>
      <c r="AE18" s="266"/>
      <c r="AF18" s="266"/>
      <c r="AG18" s="266"/>
      <c r="AH18" s="266"/>
      <c r="AI18" s="266"/>
      <c r="AJ18" s="266"/>
      <c r="AK18" s="266"/>
      <c r="AL18" s="266"/>
      <c r="AM18" s="267"/>
      <c r="AN18" s="276"/>
      <c r="AO18" s="266"/>
      <c r="AP18" s="266"/>
      <c r="AQ18" s="266"/>
      <c r="AR18" s="266"/>
      <c r="AS18" s="266"/>
      <c r="AT18" s="266"/>
      <c r="AU18" s="266"/>
      <c r="AV18" s="266"/>
      <c r="AW18" s="266"/>
      <c r="AX18" s="266"/>
      <c r="AY18" s="267"/>
      <c r="AZ18" s="276"/>
      <c r="BA18" s="266"/>
      <c r="BB18" s="266"/>
      <c r="BC18" s="266"/>
      <c r="BD18" s="266"/>
      <c r="BE18" s="266"/>
      <c r="BF18" s="266"/>
      <c r="BG18" s="266"/>
      <c r="BH18" s="266"/>
      <c r="BI18" s="266"/>
      <c r="BJ18" s="266"/>
      <c r="BK18" s="267"/>
    </row>
    <row r="19" ht="14.25" customHeight="1">
      <c r="A19" s="1"/>
      <c r="B19" s="80"/>
      <c r="C19" s="171"/>
      <c r="D19" s="268"/>
      <c r="E19" s="266"/>
      <c r="F19" s="266"/>
      <c r="G19" s="266"/>
      <c r="H19" s="266"/>
      <c r="I19" s="266"/>
      <c r="J19" s="266"/>
      <c r="K19" s="266"/>
      <c r="L19" s="266"/>
      <c r="M19" s="266"/>
      <c r="N19" s="266"/>
      <c r="O19" s="267"/>
      <c r="P19" s="268"/>
      <c r="Q19" s="266"/>
      <c r="R19" s="266"/>
      <c r="S19" s="266"/>
      <c r="T19" s="266"/>
      <c r="U19" s="266"/>
      <c r="V19" s="266"/>
      <c r="W19" s="266"/>
      <c r="X19" s="266"/>
      <c r="Y19" s="266"/>
      <c r="Z19" s="266"/>
      <c r="AA19" s="275"/>
      <c r="AB19" s="276"/>
      <c r="AC19" s="266"/>
      <c r="AD19" s="266"/>
      <c r="AE19" s="266"/>
      <c r="AF19" s="266"/>
      <c r="AG19" s="266"/>
      <c r="AH19" s="266"/>
      <c r="AI19" s="266"/>
      <c r="AJ19" s="266"/>
      <c r="AK19" s="266"/>
      <c r="AL19" s="266"/>
      <c r="AM19" s="267"/>
      <c r="AN19" s="276"/>
      <c r="AO19" s="266"/>
      <c r="AP19" s="266"/>
      <c r="AQ19" s="266"/>
      <c r="AR19" s="266"/>
      <c r="AS19" s="266"/>
      <c r="AT19" s="266"/>
      <c r="AU19" s="266"/>
      <c r="AV19" s="266"/>
      <c r="AW19" s="266"/>
      <c r="AX19" s="266"/>
      <c r="AY19" s="267"/>
      <c r="AZ19" s="276"/>
      <c r="BA19" s="266"/>
      <c r="BB19" s="266"/>
      <c r="BC19" s="266"/>
      <c r="BD19" s="266"/>
      <c r="BE19" s="266"/>
      <c r="BF19" s="266"/>
      <c r="BG19" s="266"/>
      <c r="BH19" s="266"/>
      <c r="BI19" s="266"/>
      <c r="BJ19" s="266"/>
      <c r="BK19" s="267"/>
    </row>
    <row r="20" ht="14.25" customHeight="1">
      <c r="A20" s="1"/>
      <c r="B20" s="80"/>
      <c r="C20" s="171"/>
      <c r="D20" s="268"/>
      <c r="E20" s="266"/>
      <c r="F20" s="266"/>
      <c r="G20" s="266"/>
      <c r="H20" s="266"/>
      <c r="I20" s="266"/>
      <c r="J20" s="266"/>
      <c r="K20" s="266"/>
      <c r="L20" s="266"/>
      <c r="M20" s="266"/>
      <c r="N20" s="266"/>
      <c r="O20" s="267"/>
      <c r="P20" s="268"/>
      <c r="Q20" s="266"/>
      <c r="R20" s="266"/>
      <c r="S20" s="266"/>
      <c r="T20" s="266"/>
      <c r="U20" s="266"/>
      <c r="V20" s="266"/>
      <c r="W20" s="266"/>
      <c r="X20" s="266"/>
      <c r="Y20" s="266"/>
      <c r="Z20" s="266"/>
      <c r="AA20" s="275"/>
      <c r="AB20" s="27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7"/>
      <c r="AN20" s="276"/>
      <c r="AO20" s="266"/>
      <c r="AP20" s="266"/>
      <c r="AQ20" s="266"/>
      <c r="AR20" s="266"/>
      <c r="AS20" s="266"/>
      <c r="AT20" s="266"/>
      <c r="AU20" s="266"/>
      <c r="AV20" s="266"/>
      <c r="AW20" s="266"/>
      <c r="AX20" s="266"/>
      <c r="AY20" s="267"/>
      <c r="AZ20" s="276"/>
      <c r="BA20" s="266"/>
      <c r="BB20" s="266"/>
      <c r="BC20" s="266"/>
      <c r="BD20" s="266"/>
      <c r="BE20" s="266"/>
      <c r="BF20" s="266"/>
      <c r="BG20" s="266"/>
      <c r="BH20" s="266"/>
      <c r="BI20" s="266"/>
      <c r="BJ20" s="266"/>
      <c r="BK20" s="267"/>
    </row>
    <row r="21" ht="14.25" customHeight="1">
      <c r="A21" s="1"/>
      <c r="B21" s="159"/>
      <c r="C21" s="178"/>
      <c r="D21" s="277"/>
      <c r="E21" s="278"/>
      <c r="F21" s="278"/>
      <c r="G21" s="278"/>
      <c r="H21" s="278"/>
      <c r="I21" s="278"/>
      <c r="J21" s="278"/>
      <c r="K21" s="278"/>
      <c r="L21" s="278"/>
      <c r="M21" s="278"/>
      <c r="N21" s="278"/>
      <c r="O21" s="279"/>
      <c r="P21" s="277"/>
      <c r="Q21" s="278"/>
      <c r="R21" s="278"/>
      <c r="S21" s="278"/>
      <c r="T21" s="278"/>
      <c r="U21" s="278"/>
      <c r="V21" s="278"/>
      <c r="W21" s="278"/>
      <c r="X21" s="278"/>
      <c r="Y21" s="278"/>
      <c r="Z21" s="278"/>
      <c r="AA21" s="280"/>
      <c r="AB21" s="281"/>
      <c r="AC21" s="278"/>
      <c r="AD21" s="278"/>
      <c r="AE21" s="278"/>
      <c r="AF21" s="278"/>
      <c r="AG21" s="278"/>
      <c r="AH21" s="278"/>
      <c r="AI21" s="278"/>
      <c r="AJ21" s="278"/>
      <c r="AK21" s="278"/>
      <c r="AL21" s="278"/>
      <c r="AM21" s="279"/>
      <c r="AN21" s="281"/>
      <c r="AO21" s="278"/>
      <c r="AP21" s="278"/>
      <c r="AQ21" s="278"/>
      <c r="AR21" s="278"/>
      <c r="AS21" s="278"/>
      <c r="AT21" s="278"/>
      <c r="AU21" s="278"/>
      <c r="AV21" s="278"/>
      <c r="AW21" s="278"/>
      <c r="AX21" s="278"/>
      <c r="AY21" s="279"/>
      <c r="AZ21" s="281"/>
      <c r="BA21" s="278"/>
      <c r="BB21" s="278"/>
      <c r="BC21" s="278"/>
      <c r="BD21" s="278"/>
      <c r="BE21" s="278"/>
      <c r="BF21" s="278"/>
      <c r="BG21" s="278"/>
      <c r="BH21" s="278"/>
      <c r="BI21" s="278"/>
      <c r="BJ21" s="278"/>
      <c r="BK21" s="279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</row>
  </sheetData>
  <mergeCells count="9">
    <mergeCell ref="AN5:AY5"/>
    <mergeCell ref="AZ5:BK5"/>
    <mergeCell ref="B1:BK1"/>
    <mergeCell ref="B3:AR3"/>
    <mergeCell ref="B5:B6"/>
    <mergeCell ref="C5:C6"/>
    <mergeCell ref="D5:O5"/>
    <mergeCell ref="P5:AA5"/>
    <mergeCell ref="AB5:AM5"/>
  </mergeCells>
  <conditionalFormatting sqref="D7:BK21">
    <cfRule type="cellIs" dxfId="2" priority="1" operator="between">
      <formula>#REF!</formula>
      <formula>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D69B"/>
    <pageSetUpPr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110.57"/>
    <col customWidth="1" min="3" max="3" width="7.57"/>
    <col customWidth="1" min="4" max="4" width="16.71"/>
    <col customWidth="1" min="5" max="5" width="14.71"/>
    <col customWidth="1" min="6" max="7" width="13.57"/>
    <col customWidth="1" min="8" max="8" width="11.43"/>
    <col customWidth="1" min="9" max="10" width="15.71"/>
    <col customWidth="1" min="11" max="11" width="14.71"/>
    <col customWidth="1" min="12" max="27" width="11.43"/>
  </cols>
  <sheetData>
    <row r="1" ht="14.2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5"/>
    </row>
    <row r="2" ht="14.25" customHeight="1">
      <c r="A2" s="1"/>
      <c r="B2" s="4"/>
      <c r="C2" s="4"/>
      <c r="D2" s="4"/>
      <c r="E2" s="4"/>
      <c r="F2" s="4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4.25" customHeight="1">
      <c r="A3" s="1"/>
      <c r="B3" s="8" t="s">
        <v>141</v>
      </c>
      <c r="C3" s="3"/>
      <c r="D3" s="3"/>
      <c r="E3" s="3"/>
      <c r="F3" s="3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30.75" customHeight="1">
      <c r="A4" s="1"/>
      <c r="B4" s="4"/>
      <c r="C4" s="36" t="s">
        <v>3</v>
      </c>
      <c r="D4" s="282" t="s">
        <v>30</v>
      </c>
      <c r="E4" s="283" t="s">
        <v>32</v>
      </c>
      <c r="F4" s="57"/>
      <c r="G4" s="284" t="s">
        <v>142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4.25" customHeight="1">
      <c r="A5" s="1"/>
      <c r="B5" s="4"/>
      <c r="C5" s="285"/>
      <c r="D5" s="286"/>
      <c r="E5" s="287" t="s">
        <v>44</v>
      </c>
      <c r="F5" s="288" t="s">
        <v>45</v>
      </c>
      <c r="G5" s="28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20.25" customHeight="1">
      <c r="A6" s="1"/>
      <c r="B6" s="290" t="s">
        <v>143</v>
      </c>
      <c r="C6" s="23"/>
      <c r="D6" s="23"/>
      <c r="E6" s="23"/>
      <c r="F6" s="23"/>
      <c r="G6" s="26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4.25" customHeight="1">
      <c r="A7" s="1"/>
      <c r="B7" s="67" t="s">
        <v>144</v>
      </c>
      <c r="C7" s="67">
        <v>37.0</v>
      </c>
      <c r="D7" s="69">
        <v>1.7728E9</v>
      </c>
      <c r="E7" s="291">
        <v>4.5E8</v>
      </c>
      <c r="F7" s="69">
        <v>6.0E8</v>
      </c>
      <c r="G7" s="83">
        <f t="shared" ref="G7:G9" si="1">+SUM(D7:F7)</f>
        <v>2822800000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4.25" customHeight="1">
      <c r="A8" s="1"/>
      <c r="B8" s="171" t="s">
        <v>145</v>
      </c>
      <c r="C8" s="171">
        <v>11.0</v>
      </c>
      <c r="D8" s="292">
        <v>1.272E8</v>
      </c>
      <c r="E8" s="293">
        <v>1.2E8</v>
      </c>
      <c r="F8" s="292">
        <v>1.5E8</v>
      </c>
      <c r="G8" s="83">
        <f t="shared" si="1"/>
        <v>397200000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4.25" customHeight="1">
      <c r="A9" s="1"/>
      <c r="B9" s="170" t="s">
        <v>146</v>
      </c>
      <c r="C9" s="170">
        <v>3.0</v>
      </c>
      <c r="D9" s="172"/>
      <c r="E9" s="294">
        <v>3.0E7</v>
      </c>
      <c r="F9" s="172"/>
      <c r="G9" s="83">
        <f t="shared" si="1"/>
        <v>30000000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4.25" customHeight="1">
      <c r="A10" s="1"/>
      <c r="B10" s="182" t="s">
        <v>33</v>
      </c>
      <c r="C10" s="295"/>
      <c r="D10" s="296">
        <f t="shared" ref="D10:G10" si="2">SUM(D7:D9)</f>
        <v>1900000000</v>
      </c>
      <c r="E10" s="297">
        <f t="shared" si="2"/>
        <v>600000000</v>
      </c>
      <c r="F10" s="297">
        <f t="shared" si="2"/>
        <v>750000000</v>
      </c>
      <c r="G10" s="298">
        <f t="shared" si="2"/>
        <v>3250000000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27.0" customHeight="1">
      <c r="A11" s="1"/>
      <c r="B11" s="290" t="s">
        <v>147</v>
      </c>
      <c r="C11" s="23"/>
      <c r="D11" s="23"/>
      <c r="E11" s="23"/>
      <c r="F11" s="23"/>
      <c r="G11" s="26"/>
      <c r="H11" s="1"/>
      <c r="I11" s="1"/>
      <c r="J11" s="299"/>
      <c r="K11" s="300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4.25" customHeight="1">
      <c r="A12" s="1"/>
      <c r="B12" s="67" t="s">
        <v>148</v>
      </c>
      <c r="C12" s="301"/>
      <c r="D12" s="69">
        <v>1.3E8</v>
      </c>
      <c r="E12" s="302"/>
      <c r="F12" s="69"/>
      <c r="G12" s="303">
        <f t="shared" ref="G12:G23" si="3">+SUM(D12:F12)</f>
        <v>130000000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4.25" customHeight="1">
      <c r="A13" s="1"/>
      <c r="B13" s="171" t="s">
        <v>149</v>
      </c>
      <c r="C13" s="171"/>
      <c r="D13" s="292">
        <v>2.9E8</v>
      </c>
      <c r="E13" s="293">
        <v>1.8E8</v>
      </c>
      <c r="F13" s="292"/>
      <c r="G13" s="83">
        <f t="shared" si="3"/>
        <v>470000000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4.25" customHeight="1">
      <c r="A14" s="1"/>
      <c r="B14" s="171" t="s">
        <v>150</v>
      </c>
      <c r="C14" s="171"/>
      <c r="D14" s="292"/>
      <c r="E14" s="293"/>
      <c r="F14" s="292"/>
      <c r="G14" s="83">
        <f t="shared" si="3"/>
        <v>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4.25" customHeight="1">
      <c r="A15" s="1"/>
      <c r="B15" s="171" t="s">
        <v>151</v>
      </c>
      <c r="C15" s="171"/>
      <c r="D15" s="292"/>
      <c r="E15" s="293"/>
      <c r="F15" s="292"/>
      <c r="G15" s="83">
        <f t="shared" si="3"/>
        <v>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4.25" customHeight="1">
      <c r="A16" s="1"/>
      <c r="B16" s="171" t="s">
        <v>152</v>
      </c>
      <c r="C16" s="171"/>
      <c r="D16" s="292">
        <v>1.2E8</v>
      </c>
      <c r="E16" s="293">
        <v>1.2E8</v>
      </c>
      <c r="F16" s="292"/>
      <c r="G16" s="83">
        <f t="shared" si="3"/>
        <v>240000000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4.25" customHeight="1">
      <c r="A17" s="1"/>
      <c r="B17" s="171" t="s">
        <v>153</v>
      </c>
      <c r="C17" s="171"/>
      <c r="D17" s="292">
        <v>4.0E7</v>
      </c>
      <c r="E17" s="293"/>
      <c r="F17" s="292"/>
      <c r="G17" s="83">
        <f t="shared" si="3"/>
        <v>40000000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4.25" customHeight="1">
      <c r="A18" s="1"/>
      <c r="B18" s="170" t="s">
        <v>154</v>
      </c>
      <c r="C18" s="170"/>
      <c r="D18" s="172"/>
      <c r="E18" s="294"/>
      <c r="F18" s="172">
        <v>2.5E8</v>
      </c>
      <c r="G18" s="83">
        <f t="shared" si="3"/>
        <v>250000000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4.25" customHeight="1">
      <c r="A19" s="1"/>
      <c r="B19" s="170" t="s">
        <v>155</v>
      </c>
      <c r="C19" s="170"/>
      <c r="D19" s="172"/>
      <c r="E19" s="294"/>
      <c r="F19" s="172"/>
      <c r="G19" s="83">
        <f t="shared" si="3"/>
        <v>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4.25" customHeight="1">
      <c r="A20" s="1"/>
      <c r="B20" s="170" t="s">
        <v>156</v>
      </c>
      <c r="C20" s="170"/>
      <c r="D20" s="172">
        <v>2.0E7</v>
      </c>
      <c r="E20" s="294"/>
      <c r="F20" s="172"/>
      <c r="G20" s="83">
        <f t="shared" si="3"/>
        <v>20000000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4.25" customHeight="1">
      <c r="A21" s="1"/>
      <c r="B21" s="170" t="s">
        <v>157</v>
      </c>
      <c r="C21" s="170"/>
      <c r="D21" s="172"/>
      <c r="E21" s="294"/>
      <c r="F21" s="172"/>
      <c r="G21" s="83">
        <f t="shared" si="3"/>
        <v>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4.25" customHeight="1">
      <c r="A22" s="1"/>
      <c r="B22" s="170" t="s">
        <v>158</v>
      </c>
      <c r="C22" s="170"/>
      <c r="D22" s="172">
        <v>5.0E7</v>
      </c>
      <c r="E22" s="294"/>
      <c r="F22" s="172"/>
      <c r="G22" s="83">
        <f t="shared" si="3"/>
        <v>50000000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4.25" customHeight="1">
      <c r="A23" s="1"/>
      <c r="B23" s="170" t="s">
        <v>159</v>
      </c>
      <c r="C23" s="170"/>
      <c r="D23" s="172"/>
      <c r="E23" s="294"/>
      <c r="F23" s="172"/>
      <c r="G23" s="83">
        <f t="shared" si="3"/>
        <v>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4.25" customHeight="1">
      <c r="A24" s="1"/>
      <c r="B24" s="182" t="s">
        <v>33</v>
      </c>
      <c r="C24" s="295"/>
      <c r="D24" s="297">
        <f t="shared" ref="D24:G24" si="4">SUM(D12:D23)</f>
        <v>650000000</v>
      </c>
      <c r="E24" s="296">
        <f t="shared" si="4"/>
        <v>300000000</v>
      </c>
      <c r="F24" s="297">
        <f t="shared" si="4"/>
        <v>250000000</v>
      </c>
      <c r="G24" s="298">
        <f t="shared" si="4"/>
        <v>1200000000</v>
      </c>
      <c r="H24" s="1"/>
      <c r="I24" s="299"/>
      <c r="J24" s="300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27.75" customHeight="1">
      <c r="A25" s="1"/>
      <c r="B25" s="290" t="s">
        <v>160</v>
      </c>
      <c r="C25" s="23"/>
      <c r="D25" s="23"/>
      <c r="E25" s="23"/>
      <c r="F25" s="23"/>
      <c r="G25" s="2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4.25" customHeight="1">
      <c r="A26" s="1"/>
      <c r="B26" s="67" t="s">
        <v>161</v>
      </c>
      <c r="C26" s="301"/>
      <c r="D26" s="69">
        <v>2.0E8</v>
      </c>
      <c r="E26" s="302">
        <v>6.0E7</v>
      </c>
      <c r="F26" s="69"/>
      <c r="G26" s="303">
        <f t="shared" ref="G26:G28" si="5">+SUM(D26:F26)</f>
        <v>260000000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4.25" customHeight="1">
      <c r="A27" s="1"/>
      <c r="B27" s="171" t="s">
        <v>162</v>
      </c>
      <c r="C27" s="171"/>
      <c r="D27" s="292"/>
      <c r="E27" s="293"/>
      <c r="F27" s="292"/>
      <c r="G27" s="83">
        <f t="shared" si="5"/>
        <v>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4.25" customHeight="1">
      <c r="A28" s="1"/>
      <c r="B28" s="170" t="s">
        <v>159</v>
      </c>
      <c r="C28" s="178"/>
      <c r="D28" s="172">
        <v>5.0E7</v>
      </c>
      <c r="E28" s="304"/>
      <c r="F28" s="172"/>
      <c r="G28" s="83">
        <f t="shared" si="5"/>
        <v>50000000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4.25" customHeight="1">
      <c r="A29" s="1"/>
      <c r="B29" s="182" t="s">
        <v>33</v>
      </c>
      <c r="C29" s="295"/>
      <c r="D29" s="297">
        <f t="shared" ref="D29:G29" si="6">SUM(D26:D28)</f>
        <v>250000000</v>
      </c>
      <c r="E29" s="296">
        <f t="shared" si="6"/>
        <v>60000000</v>
      </c>
      <c r="F29" s="297">
        <f t="shared" si="6"/>
        <v>0</v>
      </c>
      <c r="G29" s="298">
        <f t="shared" si="6"/>
        <v>310000000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21.0" customHeight="1">
      <c r="A30" s="1"/>
      <c r="B30" s="305" t="s">
        <v>163</v>
      </c>
      <c r="C30" s="19"/>
      <c r="D30" s="19"/>
      <c r="E30" s="19"/>
      <c r="F30" s="19"/>
      <c r="G30" s="2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4.25" customHeight="1">
      <c r="A31" s="1"/>
      <c r="B31" s="306" t="s">
        <v>164</v>
      </c>
      <c r="C31" s="306"/>
      <c r="D31" s="307">
        <v>4.0E7</v>
      </c>
      <c r="E31" s="302"/>
      <c r="F31" s="308"/>
      <c r="G31" s="303">
        <f t="shared" ref="G31:G34" si="7">+SUM(D31:F31)</f>
        <v>40000000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4.25" customHeight="1">
      <c r="A32" s="1"/>
      <c r="B32" s="309" t="s">
        <v>165</v>
      </c>
      <c r="C32" s="309"/>
      <c r="D32" s="310">
        <v>6.0E7</v>
      </c>
      <c r="E32" s="293"/>
      <c r="F32" s="292"/>
      <c r="G32" s="83">
        <f t="shared" si="7"/>
        <v>60000000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4.25" customHeight="1">
      <c r="A33" s="1"/>
      <c r="B33" s="309" t="s">
        <v>166</v>
      </c>
      <c r="C33" s="309"/>
      <c r="D33" s="310">
        <v>1.0E8</v>
      </c>
      <c r="E33" s="293">
        <v>4.0E7</v>
      </c>
      <c r="F33" s="292"/>
      <c r="G33" s="83">
        <f t="shared" si="7"/>
        <v>140000000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4.25" customHeight="1">
      <c r="A34" s="1"/>
      <c r="B34" s="311" t="s">
        <v>159</v>
      </c>
      <c r="C34" s="311"/>
      <c r="D34" s="312"/>
      <c r="E34" s="304"/>
      <c r="F34" s="179"/>
      <c r="G34" s="303">
        <f t="shared" si="7"/>
        <v>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4.25" customHeight="1">
      <c r="A35" s="1"/>
      <c r="B35" s="182" t="s">
        <v>33</v>
      </c>
      <c r="C35" s="295"/>
      <c r="D35" s="297">
        <f t="shared" ref="D35:G35" si="8">SUM(D31:D34)</f>
        <v>200000000</v>
      </c>
      <c r="E35" s="296">
        <f t="shared" si="8"/>
        <v>40000000</v>
      </c>
      <c r="F35" s="297">
        <f t="shared" si="8"/>
        <v>0</v>
      </c>
      <c r="G35" s="298">
        <f t="shared" si="8"/>
        <v>240000000</v>
      </c>
      <c r="H35" s="1"/>
      <c r="I35" s="299"/>
      <c r="J35" s="300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10">
    <mergeCell ref="B11:G11"/>
    <mergeCell ref="B25:G25"/>
    <mergeCell ref="B30:G30"/>
    <mergeCell ref="B1:AA1"/>
    <mergeCell ref="B3:G3"/>
    <mergeCell ref="C4:C5"/>
    <mergeCell ref="D4:D5"/>
    <mergeCell ref="E4:F4"/>
    <mergeCell ref="G4:G5"/>
    <mergeCell ref="B6:G6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2015-04-28T19:20:30Z</dcterms:created>
  <dc:creator>Edmundo Pérez Vergara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0x010100D8391FE81C452447AA05E214A414001D</vt:lpwstr>
  </property>
  <property fmtid="{D5CDD505-2E9C-101B-9397-08002B2CF9AE}" pid="3" name="MediaServiceImageTags">
    <vt:lpwstr/>
  </property>
</Properties>
</file>