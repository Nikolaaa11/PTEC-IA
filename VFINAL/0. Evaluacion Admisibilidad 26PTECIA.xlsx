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aud\Downloads\"/>
    </mc:Choice>
  </mc:AlternateContent>
  <xr:revisionPtr revIDLastSave="0" documentId="13_ncr:1_{3563C169-31C2-4DB0-B183-84E8A3909E2F}" xr6:coauthVersionLast="47" xr6:coauthVersionMax="47" xr10:uidLastSave="{00000000-0000-0000-0000-000000000000}"/>
  <bookViews>
    <workbookView xWindow="-38490" yWindow="-4810" windowWidth="19380" windowHeight="20970" xr2:uid="{00000000-000D-0000-FFFF-FFFF00000000}"/>
  </bookViews>
  <sheets>
    <sheet name="PROGRAMA TECNOLOGICOS" sheetId="6" r:id="rId1"/>
    <sheet name="Lista" sheetId="8" state="hidden" r:id="rId2"/>
  </sheets>
  <definedNames>
    <definedName name="_xlnm.Print_Area" localSheetId="0">'PROGRAMA TECNOLOGICOS'!$A$1:$I$41</definedName>
    <definedName name="OPCIONES">Lista!$A$2:$A$4</definedName>
    <definedName name="SI">Lista!$B$2:$B$4</definedName>
    <definedName name="SI_NO">Lista!$B$2:$B$3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6" l="1"/>
  <c r="H24" i="6"/>
  <c r="H22" i="6"/>
  <c r="E29" i="6" l="1"/>
  <c r="G29" i="6" s="1"/>
  <c r="G28" i="6"/>
  <c r="E39" i="6"/>
  <c r="K28" i="6"/>
  <c r="K27" i="6"/>
  <c r="G35" i="6" l="1"/>
  <c r="E33" i="6"/>
  <c r="G33" i="6" s="1"/>
  <c r="H17" i="6" l="1"/>
  <c r="H18" i="6"/>
  <c r="H19" i="6"/>
  <c r="H20" i="6"/>
  <c r="H21" i="6"/>
  <c r="G39" i="6"/>
  <c r="E37" i="6"/>
  <c r="G37" i="6" l="1"/>
  <c r="K38" i="6"/>
  <c r="H23" i="6"/>
  <c r="K40" i="6"/>
  <c r="E31" i="6"/>
  <c r="G31" i="6" s="1"/>
  <c r="F38" i="6"/>
  <c r="M40" i="6" l="1"/>
  <c r="K29" i="6"/>
</calcChain>
</file>

<file path=xl/sharedStrings.xml><?xml version="1.0" encoding="utf-8"?>
<sst xmlns="http://schemas.openxmlformats.org/spreadsheetml/2006/main" count="60" uniqueCount="48">
  <si>
    <r>
      <t xml:space="preserve">ADMISIBILIDAD DE POSTULACIONES A PROGRAMAS TECNOLÓGICOS                                                                                                                                                                                        </t>
    </r>
    <r>
      <rPr>
        <b/>
        <u/>
        <sz val="18"/>
        <rFont val="Calibri"/>
        <family val="2"/>
        <scheme val="minor"/>
      </rPr>
      <t xml:space="preserve">CONVOCATORIAS 2026
</t>
    </r>
  </si>
  <si>
    <t>NOMBRE CONVOCATORIA</t>
  </si>
  <si>
    <t>PROGRAMAS TECNOLÓGICOS PARA EL USO Y ADOPCIÓN DE INTELIGENCIA ARTIFICIAL EN LA INDUSTRIA CHILENA</t>
  </si>
  <si>
    <t>NOMBRE DEL PROGRAMA</t>
  </si>
  <si>
    <t xml:space="preserve">COMPLETAR  SÓLO LOS CASILLEROS EN VERDE. LOS VERIFICADORES (EN GRIS) SE COMPLETARÁN AUTOMÁTICAMENTE. 
ESTO ES UN CHECK LIST REFERENCIAL. </t>
  </si>
  <si>
    <t>ADMISIBILIDAD DEL PROGRAMA</t>
  </si>
  <si>
    <t>INDICAR SI / NO / NO APLICA, A LAS CONDICIONES:</t>
  </si>
  <si>
    <t>VERIFICADOR</t>
  </si>
  <si>
    <t>Que el programa sea presentado utilizando el formulario de postulación y las planillas y documentos anexos al mismo, disponibles en el sistema de postulación de proyectos en línea. En caso de que las planillas y/o anexos al mismo no contengan toda la información, se entenderá que no se cumple con este requisito.</t>
  </si>
  <si>
    <t>La coherencia entre los objetivos del programa y los objetivos del presente instrumento.</t>
  </si>
  <si>
    <t>Que el respectivo Programa, corresponda a algún(os) (de los) Sector(es) productivo(s) y/o económico(s) específico(s) y, además, aborde la(s) brechas(s) y/o desafío(s), individualizados en el aviso mediante el cual se comunique la respectiva apertura o llamado del presente instrumento de financiamiento.</t>
  </si>
  <si>
    <t>Que se acompañen en la postulación los antecedentes necesarios para acreditar el cumplimiento de las características del Beneficiario señaladas el numeral 4.1 de las presentes Bases.</t>
  </si>
  <si>
    <t>Cumplimiento de los requisitos de cofinanciamiento, de acuerdo con los montos y porcentajes, mínimos y máximos, señalados en los numerales 6.1 y 6.3 de las presentes bases, y en su caso, de aquellos definidos e informados en el respectivo aviso mediante el cual se comunique la respectiva apertura o llamado del presente instrumento de financiamiento.</t>
  </si>
  <si>
    <t>Cumplimiento de los requisitos de plazo de ejecución del Programa establecidos en el numeral 5 de las presentes bases y, en su caso, de aquellos que se informen en el respectivo aviso mediante el cual se comunique la respectiva apertura o llamado del presente instrumento de financiamiento.</t>
  </si>
  <si>
    <t>Que cada asociado realice aportes, de acuerdo con lo establecido en el numeral 4.3 de las presentes bases</t>
  </si>
  <si>
    <t>Para el caso que el instrumento se focalice geográficamente, que el Programa tenga ámbito de aplicación o ejecución en el territorio establecido para la respectiva apertura o llamado e indicado en el respectivo aviso</t>
  </si>
  <si>
    <t>Que el objeto social o finalidad del beneficiario persona jurídica de derecho privado constituida en Chile, según la transcripción efectuada en el formulario de postulación, sea pertinente en relación con las actividades a desarrollar para la obtención del objetivo del proyecto. (De corresponder, porque esta convocatoria permite también como beneficiario a personas jurídicas de derecho público, según lo comunicado en modificación de aviso legal de la convocatoria). (Responda Sí/No/No aplica) --&gt;</t>
  </si>
  <si>
    <t>Verificación Manual. Sólo para beneficiarios/gestor tecnológico que corresponda a persona jurídica de derecho privado constituida en Chile</t>
  </si>
  <si>
    <t xml:space="preserve">PRESUPUESTO ($) </t>
  </si>
  <si>
    <t>Costo Total Programa Tecnológico</t>
  </si>
  <si>
    <t xml:space="preserve">INGRESAR LOS MISMOS MONTOS DECLARADOS EN EL  FORMULARIO DE POSTULACIÓN A LAS CASILLAS EN VERDE.
SE AUTOCOMPLETARÁN LAS CASILLAS EN GRIS.                 
REVISE  MANUALMENTE LOS RESULTADOS DEL PRESUPUESTO, YA QUE SÓLO SE MUESTRA HASTA EL 4TO DECIMAL. </t>
  </si>
  <si>
    <t>Aporte CORFO</t>
  </si>
  <si>
    <t>No supera los $3.000.000.000 solicitado a CORFO</t>
  </si>
  <si>
    <t>% Aporte CORFO respecto del presupuesto total</t>
  </si>
  <si>
    <t>Verificación % (no puede superar el 60,0000% del costo total del Programa)</t>
  </si>
  <si>
    <t>Aporte Total de todos los Participantes (Beneficiario/Gestor Tecnológico, Coejecutor(es), Asociados)</t>
  </si>
  <si>
    <t xml:space="preserve">Respecto de este criterio, revise el numeral 4 de las Bases Técnicas. Especialmente para los asociados el cofinanciamiento es obligatorio (Subnumeral 4.3) </t>
  </si>
  <si>
    <t>% Aporte participantes</t>
  </si>
  <si>
    <t>Verificación % (debe ser igual o superior al 40,0000% del costo total del Programa)</t>
  </si>
  <si>
    <r>
      <t>Aporte mínimo pecuniario de los participantes</t>
    </r>
    <r>
      <rPr>
        <b/>
        <sz val="11"/>
        <color indexed="10"/>
        <rFont val="Calibri"/>
        <family val="2"/>
        <scheme val="minor"/>
      </rPr>
      <t xml:space="preserve"> </t>
    </r>
  </si>
  <si>
    <t>% de Aporte mínimo pecuniario de los participantes</t>
  </si>
  <si>
    <t>Verificación % (deben aportar pecuniariamente con al menos 20,0000% del costo total del Programa)</t>
  </si>
  <si>
    <t>Aporte CORFO Recursos Humanos Pre Existentes</t>
  </si>
  <si>
    <t>% Aporte CORFO Recurso Humanos Pre Existentes</t>
  </si>
  <si>
    <t>Verificación % (sólo se podrá destinar como máximo del subsidio hasta un 25,00% al personal pre existente, de acuerdo al Subnumeral 7.1 Actividades y gastos generales del proyecto de las bases técnicas)</t>
  </si>
  <si>
    <t>Aporte CORFO Cuenta Inversiones</t>
  </si>
  <si>
    <t>% Aporte CORFO Inversiones</t>
  </si>
  <si>
    <t>Verificación % (no puede superar el 30,0000% del subsidio solicitado, de acuerdo al numeral 11. Aspectos presupuestarios de las bases técnicas)</t>
  </si>
  <si>
    <t>Solicitado a CORFO en la cuenta Gastos de Administración</t>
  </si>
  <si>
    <t>% Aporte gasto Administración solicitado a CORFO</t>
  </si>
  <si>
    <t>Verificación % (se podrá destinar como máximo hasta un 10,0000% del subsidio a este tipo de gastos, de acuerdo al numeral 11. Aspectos Presupuestarios de las Bases Técnicas)</t>
  </si>
  <si>
    <t xml:space="preserve">IMPORTANTE:  EL NO CUMPLIMIENTO DE ALGUNA DE LAS CONDICIONES ANTERIORMENTE SEÑALADAS, TRAE COMO CONSECUENCIA LA DECLARACIÓN INMEDIATA DEL PROGRAMA, COMO "NO ADMISIBLE", POR LO TANTO, NO CONTINÚA EN EL PROCESO DE EVALUACIÓN. </t>
  </si>
  <si>
    <t>OPCIONES</t>
  </si>
  <si>
    <t>SI_NO</t>
  </si>
  <si>
    <t>SI</t>
  </si>
  <si>
    <t>NO</t>
  </si>
  <si>
    <t>NO APLICA</t>
  </si>
  <si>
    <t>PTEC-BITÁCORA: “Línea de Vida de un Activo Inmobiliario: Plataforma de IA para la Gestión Integrada del Ciclo de Vida en la Construcción”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</si>
</sst>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  <numFmt numFmtId="166" formatCode="0.000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7"/>
      <name val="Calibri"/>
      <family val="2"/>
      <scheme val="minor"/>
    </font>
    <font>
      <sz val="17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03">
    <xf numFmtId="0" fontId="0" fillId="0" borderId="0" xfId="0"/>
    <xf numFmtId="0" fontId="0" fillId="3" borderId="0" xfId="0" applyFill="1"/>
    <xf numFmtId="0" fontId="2" fillId="0" borderId="0" xfId="0" applyFont="1"/>
    <xf numFmtId="0" fontId="3" fillId="0" borderId="0" xfId="0" applyFont="1"/>
    <xf numFmtId="9" fontId="0" fillId="0" borderId="0" xfId="2" applyFont="1" applyProtection="1"/>
    <xf numFmtId="10" fontId="0" fillId="0" borderId="0" xfId="2" applyNumberFormat="1" applyFont="1" applyProtection="1"/>
    <xf numFmtId="9" fontId="0" fillId="0" borderId="0" xfId="2" applyFont="1" applyAlignment="1" applyProtection="1">
      <alignment horizontal="center"/>
    </xf>
    <xf numFmtId="0" fontId="0" fillId="5" borderId="0" xfId="0" applyFill="1"/>
    <xf numFmtId="0" fontId="11" fillId="5" borderId="0" xfId="0" applyFont="1" applyFill="1" applyAlignment="1">
      <alignment horizontal="left" vertical="center" wrapText="1"/>
    </xf>
    <xf numFmtId="0" fontId="3" fillId="6" borderId="18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3" fillId="4" borderId="32" xfId="0" applyFont="1" applyFill="1" applyBorder="1" applyAlignment="1">
      <alignment horizontal="center" vertical="center" wrapText="1"/>
    </xf>
    <xf numFmtId="0" fontId="3" fillId="4" borderId="33" xfId="0" applyFont="1" applyFill="1" applyBorder="1" applyAlignment="1" applyProtection="1">
      <alignment horizontal="center" vertical="center" wrapText="1"/>
      <protection locked="0"/>
    </xf>
    <xf numFmtId="0" fontId="3" fillId="6" borderId="34" xfId="0" applyFont="1" applyFill="1" applyBorder="1" applyAlignment="1">
      <alignment horizontal="center" vertical="center"/>
    </xf>
    <xf numFmtId="0" fontId="3" fillId="4" borderId="35" xfId="0" applyFont="1" applyFill="1" applyBorder="1" applyAlignment="1" applyProtection="1">
      <alignment horizontal="center" vertical="center" wrapText="1"/>
      <protection locked="0"/>
    </xf>
    <xf numFmtId="0" fontId="3" fillId="4" borderId="39" xfId="0" applyFont="1" applyFill="1" applyBorder="1" applyAlignment="1">
      <alignment horizontal="center" vertical="center" wrapText="1"/>
    </xf>
    <xf numFmtId="0" fontId="3" fillId="6" borderId="40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 wrapText="1"/>
    </xf>
    <xf numFmtId="0" fontId="3" fillId="4" borderId="42" xfId="0" applyFont="1" applyFill="1" applyBorder="1" applyAlignment="1" applyProtection="1">
      <alignment horizontal="center" vertical="center" wrapText="1"/>
      <protection locked="0"/>
    </xf>
    <xf numFmtId="0" fontId="3" fillId="6" borderId="43" xfId="0" applyFont="1" applyFill="1" applyBorder="1" applyAlignment="1">
      <alignment horizontal="center" vertical="center"/>
    </xf>
    <xf numFmtId="0" fontId="15" fillId="5" borderId="38" xfId="0" applyFont="1" applyFill="1" applyBorder="1" applyAlignment="1">
      <alignment horizontal="center" vertical="center"/>
    </xf>
    <xf numFmtId="0" fontId="3" fillId="7" borderId="50" xfId="0" applyFont="1" applyFill="1" applyBorder="1" applyAlignment="1">
      <alignment horizontal="center" vertical="center" wrapText="1"/>
    </xf>
    <xf numFmtId="0" fontId="3" fillId="3" borderId="44" xfId="0" applyFont="1" applyFill="1" applyBorder="1" applyAlignment="1">
      <alignment horizontal="center" vertical="center" wrapText="1"/>
    </xf>
    <xf numFmtId="165" fontId="14" fillId="4" borderId="26" xfId="1" applyNumberFormat="1" applyFont="1" applyFill="1" applyBorder="1" applyAlignment="1" applyProtection="1">
      <alignment horizontal="center" vertical="center" wrapText="1"/>
      <protection locked="0"/>
    </xf>
    <xf numFmtId="165" fontId="3" fillId="4" borderId="27" xfId="1" applyNumberFormat="1" applyFont="1" applyFill="1" applyBorder="1" applyAlignment="1" applyProtection="1">
      <alignment horizontal="center" vertical="center" wrapText="1"/>
      <protection locked="0"/>
    </xf>
    <xf numFmtId="166" fontId="6" fillId="6" borderId="55" xfId="2" applyNumberFormat="1" applyFont="1" applyFill="1" applyBorder="1" applyAlignment="1" applyProtection="1">
      <alignment horizontal="center" vertical="center"/>
    </xf>
    <xf numFmtId="165" fontId="3" fillId="4" borderId="26" xfId="1" applyNumberFormat="1" applyFont="1" applyFill="1" applyBorder="1" applyAlignment="1" applyProtection="1">
      <alignment horizontal="center" vertical="center" wrapText="1"/>
      <protection locked="0"/>
    </xf>
    <xf numFmtId="166" fontId="6" fillId="6" borderId="27" xfId="2" applyNumberFormat="1" applyFont="1" applyFill="1" applyBorder="1" applyAlignment="1" applyProtection="1">
      <alignment horizontal="center" vertical="center"/>
    </xf>
    <xf numFmtId="166" fontId="6" fillId="6" borderId="28" xfId="2" applyNumberFormat="1" applyFont="1" applyFill="1" applyBorder="1" applyAlignment="1" applyProtection="1">
      <alignment horizontal="center" vertical="center"/>
    </xf>
    <xf numFmtId="42" fontId="6" fillId="4" borderId="56" xfId="3" applyFont="1" applyFill="1" applyBorder="1" applyAlignment="1" applyProtection="1">
      <alignment horizontal="center" vertical="center"/>
    </xf>
    <xf numFmtId="165" fontId="3" fillId="4" borderId="56" xfId="1" applyNumberFormat="1" applyFont="1" applyFill="1" applyBorder="1" applyAlignment="1" applyProtection="1">
      <alignment horizontal="center" vertical="center" wrapText="1"/>
      <protection locked="0"/>
    </xf>
    <xf numFmtId="9" fontId="0" fillId="0" borderId="0" xfId="2" applyFont="1"/>
    <xf numFmtId="0" fontId="3" fillId="6" borderId="43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18" fillId="3" borderId="52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5" fillId="3" borderId="53" xfId="0" applyFont="1" applyFill="1" applyBorder="1" applyAlignment="1">
      <alignment horizontal="center" vertical="center" wrapText="1"/>
    </xf>
    <xf numFmtId="0" fontId="5" fillId="3" borderId="52" xfId="0" applyFont="1" applyFill="1" applyBorder="1" applyAlignment="1">
      <alignment horizontal="center" vertical="center" wrapText="1"/>
    </xf>
    <xf numFmtId="0" fontId="10" fillId="3" borderId="53" xfId="0" applyFont="1" applyFill="1" applyBorder="1" applyAlignment="1">
      <alignment horizontal="center" vertical="center" wrapText="1"/>
    </xf>
    <xf numFmtId="0" fontId="8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9" fontId="5" fillId="0" borderId="17" xfId="2" applyFont="1" applyBorder="1" applyAlignment="1" applyProtection="1">
      <alignment horizontal="left" vertical="center" wrapText="1"/>
    </xf>
    <xf numFmtId="9" fontId="5" fillId="0" borderId="1" xfId="2" applyFont="1" applyBorder="1" applyAlignment="1" applyProtection="1">
      <alignment horizontal="left" vertical="center" wrapText="1"/>
    </xf>
    <xf numFmtId="9" fontId="5" fillId="0" borderId="4" xfId="2" applyFont="1" applyBorder="1" applyAlignment="1" applyProtection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9" fontId="5" fillId="5" borderId="17" xfId="2" applyFont="1" applyFill="1" applyBorder="1" applyAlignment="1" applyProtection="1">
      <alignment horizontal="left" vertical="center" wrapText="1"/>
    </xf>
    <xf numFmtId="9" fontId="5" fillId="5" borderId="1" xfId="2" applyFont="1" applyFill="1" applyBorder="1" applyAlignment="1" applyProtection="1">
      <alignment horizontal="left" vertical="center" wrapText="1"/>
    </xf>
    <xf numFmtId="9" fontId="5" fillId="5" borderId="4" xfId="2" applyFont="1" applyFill="1" applyBorder="1" applyAlignment="1" applyProtection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0" fillId="0" borderId="3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3" fillId="4" borderId="10" xfId="0" applyFont="1" applyFill="1" applyBorder="1" applyAlignment="1" applyProtection="1">
      <alignment horizontal="center" vertical="center" wrapText="1"/>
      <protection locked="0"/>
    </xf>
    <xf numFmtId="0" fontId="3" fillId="4" borderId="11" xfId="0" applyFont="1" applyFill="1" applyBorder="1" applyAlignment="1" applyProtection="1">
      <alignment horizontal="center" vertical="center" wrapText="1"/>
      <protection locked="0"/>
    </xf>
    <xf numFmtId="0" fontId="3" fillId="4" borderId="49" xfId="0" applyFont="1" applyFill="1" applyBorder="1" applyAlignment="1" applyProtection="1">
      <alignment horizontal="center" vertical="center" wrapText="1"/>
      <protection locked="0"/>
    </xf>
    <xf numFmtId="0" fontId="16" fillId="7" borderId="47" xfId="0" applyFont="1" applyFill="1" applyBorder="1" applyAlignment="1" applyProtection="1">
      <alignment horizontal="center" vertical="center" wrapText="1"/>
      <protection locked="0"/>
    </xf>
    <xf numFmtId="0" fontId="17" fillId="7" borderId="47" xfId="0" applyFont="1" applyFill="1" applyBorder="1" applyAlignment="1">
      <alignment horizontal="center" vertical="center" wrapText="1"/>
    </xf>
    <xf numFmtId="0" fontId="17" fillId="7" borderId="48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9" fontId="5" fillId="0" borderId="23" xfId="2" applyFont="1" applyBorder="1" applyAlignment="1" applyProtection="1">
      <alignment horizontal="left" vertical="center" wrapText="1"/>
    </xf>
    <xf numFmtId="9" fontId="5" fillId="0" borderId="24" xfId="2" applyFont="1" applyBorder="1" applyAlignment="1" applyProtection="1">
      <alignment horizontal="left" vertical="center" wrapText="1"/>
    </xf>
    <xf numFmtId="9" fontId="5" fillId="0" borderId="46" xfId="2" applyFont="1" applyBorder="1" applyAlignment="1" applyProtection="1">
      <alignment horizontal="left" vertical="center" wrapText="1"/>
    </xf>
    <xf numFmtId="0" fontId="6" fillId="3" borderId="0" xfId="0" applyFont="1" applyFill="1" applyAlignment="1">
      <alignment horizontal="left" vertical="top" wrapText="1"/>
    </xf>
    <xf numFmtId="0" fontId="3" fillId="5" borderId="26" xfId="0" applyFont="1" applyFill="1" applyBorder="1" applyAlignment="1">
      <alignment horizontal="center" vertical="center" wrapText="1"/>
    </xf>
    <xf numFmtId="0" fontId="3" fillId="5" borderId="27" xfId="0" applyFont="1" applyFill="1" applyBorder="1" applyAlignment="1">
      <alignment horizontal="center" vertical="center" wrapText="1"/>
    </xf>
    <xf numFmtId="0" fontId="3" fillId="5" borderId="29" xfId="0" applyFont="1" applyFill="1" applyBorder="1" applyAlignment="1">
      <alignment horizontal="center" vertical="center" wrapText="1"/>
    </xf>
    <xf numFmtId="0" fontId="3" fillId="5" borderId="28" xfId="0" applyFont="1" applyFill="1" applyBorder="1" applyAlignment="1">
      <alignment horizontal="center" vertical="center" wrapText="1"/>
    </xf>
    <xf numFmtId="9" fontId="5" fillId="0" borderId="17" xfId="2" applyFont="1" applyFill="1" applyBorder="1" applyAlignment="1" applyProtection="1">
      <alignment horizontal="left" vertical="center" wrapText="1"/>
    </xf>
    <xf numFmtId="9" fontId="5" fillId="0" borderId="1" xfId="2" applyFont="1" applyFill="1" applyBorder="1" applyAlignment="1" applyProtection="1">
      <alignment horizontal="left" vertical="center" wrapText="1"/>
    </xf>
    <xf numFmtId="9" fontId="5" fillId="0" borderId="4" xfId="2" applyFont="1" applyFill="1" applyBorder="1" applyAlignment="1" applyProtection="1">
      <alignment horizontal="left" vertical="center" wrapText="1"/>
    </xf>
    <xf numFmtId="9" fontId="5" fillId="0" borderId="13" xfId="2" applyFont="1" applyBorder="1" applyAlignment="1" applyProtection="1">
      <alignment horizontal="left" vertical="center" wrapText="1"/>
    </xf>
    <xf numFmtId="9" fontId="5" fillId="0" borderId="14" xfId="2" applyFont="1" applyBorder="1" applyAlignment="1" applyProtection="1">
      <alignment horizontal="left" vertical="center" wrapText="1"/>
    </xf>
    <xf numFmtId="9" fontId="5" fillId="0" borderId="15" xfId="2" applyFont="1" applyBorder="1" applyAlignment="1" applyProtection="1">
      <alignment horizontal="left" vertical="center" wrapText="1"/>
    </xf>
    <xf numFmtId="0" fontId="0" fillId="0" borderId="4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9" fontId="5" fillId="0" borderId="31" xfId="2" applyFont="1" applyBorder="1" applyAlignment="1" applyProtection="1">
      <alignment horizontal="left" vertical="center" wrapText="1"/>
    </xf>
    <xf numFmtId="9" fontId="5" fillId="0" borderId="19" xfId="2" applyFont="1" applyBorder="1" applyAlignment="1" applyProtection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51" xfId="0" applyBorder="1" applyAlignment="1">
      <alignment horizontal="left" vertical="center" wrapText="1"/>
    </xf>
    <xf numFmtId="0" fontId="3" fillId="5" borderId="57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9" fontId="5" fillId="0" borderId="21" xfId="2" applyFont="1" applyBorder="1" applyAlignment="1" applyProtection="1">
      <alignment horizontal="left" vertical="center" wrapText="1"/>
    </xf>
    <xf numFmtId="9" fontId="5" fillId="0" borderId="2" xfId="2" applyFont="1" applyBorder="1" applyAlignment="1" applyProtection="1">
      <alignment horizontal="left" vertical="center" wrapText="1"/>
    </xf>
    <xf numFmtId="9" fontId="5" fillId="0" borderId="6" xfId="2" applyFont="1" applyBorder="1" applyAlignment="1" applyProtection="1">
      <alignment horizontal="left" vertical="center" wrapText="1"/>
    </xf>
    <xf numFmtId="165" fontId="2" fillId="0" borderId="54" xfId="0" applyNumberFormat="1" applyFont="1" applyBorder="1" applyAlignment="1">
      <alignment horizontal="center" vertical="center"/>
    </xf>
    <xf numFmtId="165" fontId="2" fillId="0" borderId="22" xfId="0" applyNumberFormat="1" applyFont="1" applyBorder="1" applyAlignment="1">
      <alignment horizontal="center" vertical="center"/>
    </xf>
    <xf numFmtId="0" fontId="12" fillId="2" borderId="0" xfId="0" applyFont="1" applyFill="1" applyAlignment="1" applyProtection="1">
      <alignment horizontal="center" vertical="center" wrapText="1"/>
      <protection locked="0"/>
    </xf>
    <xf numFmtId="0" fontId="5" fillId="5" borderId="0" xfId="0" applyFont="1" applyFill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9" fillId="5" borderId="0" xfId="0" applyFont="1" applyFill="1" applyAlignment="1">
      <alignment horizontal="center"/>
    </xf>
    <xf numFmtId="0" fontId="15" fillId="5" borderId="36" xfId="0" applyFont="1" applyFill="1" applyBorder="1" applyAlignment="1">
      <alignment horizontal="left" vertical="center"/>
    </xf>
    <xf numFmtId="0" fontId="15" fillId="5" borderId="37" xfId="0" applyFont="1" applyFill="1" applyBorder="1" applyAlignment="1">
      <alignment horizontal="left" vertical="center"/>
    </xf>
    <xf numFmtId="9" fontId="5" fillId="0" borderId="3" xfId="2" applyFont="1" applyBorder="1" applyAlignment="1" applyProtection="1">
      <alignment horizontal="left" vertical="center" wrapText="1"/>
    </xf>
    <xf numFmtId="9" fontId="5" fillId="0" borderId="51" xfId="2" applyFont="1" applyBorder="1" applyAlignment="1" applyProtection="1">
      <alignment horizontal="left" vertical="center" wrapText="1"/>
    </xf>
  </cellXfs>
  <cellStyles count="4">
    <cellStyle name="Moneda" xfId="1" builtinId="4"/>
    <cellStyle name="Moneda [0]" xfId="3" builtinId="7"/>
    <cellStyle name="Normal" xfId="0" builtinId="0"/>
    <cellStyle name="Porcentaje" xfId="2" builtinId="5"/>
  </cellStyles>
  <dxfs count="2"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82120</xdr:colOff>
      <xdr:row>1</xdr:row>
      <xdr:rowOff>147205</xdr:rowOff>
    </xdr:from>
    <xdr:to>
      <xdr:col>2</xdr:col>
      <xdr:colOff>841836</xdr:colOff>
      <xdr:row>6</xdr:row>
      <xdr:rowOff>693</xdr:rowOff>
    </xdr:to>
    <xdr:pic>
      <xdr:nvPicPr>
        <xdr:cNvPr id="4" name="Picture 8">
          <a:extLst>
            <a:ext uri="{FF2B5EF4-FFF2-40B4-BE49-F238E27FC236}">
              <a16:creationId xmlns:a16="http://schemas.microsoft.com/office/drawing/2014/main" id="{4C992E20-D73C-0A82-6521-D750F31E9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984" y="337705"/>
          <a:ext cx="2217445" cy="710738"/>
        </a:xfrm>
        <a:prstGeom prst="rect">
          <a:avLst/>
        </a:prstGeom>
      </xdr:spPr>
    </xdr:pic>
    <xdr:clientData/>
  </xdr:twoCellAnchor>
  <xdr:twoCellAnchor editAs="oneCell">
    <xdr:from>
      <xdr:col>7</xdr:col>
      <xdr:colOff>984250</xdr:colOff>
      <xdr:row>1</xdr:row>
      <xdr:rowOff>52917</xdr:rowOff>
    </xdr:from>
    <xdr:to>
      <xdr:col>7</xdr:col>
      <xdr:colOff>2175087</xdr:colOff>
      <xdr:row>8</xdr:row>
      <xdr:rowOff>152035</xdr:rowOff>
    </xdr:to>
    <xdr:pic>
      <xdr:nvPicPr>
        <xdr:cNvPr id="3" name="Imagen 2" descr="Descripción: LOGO_TRANS_2014-05">
          <a:extLst>
            <a:ext uri="{FF2B5EF4-FFF2-40B4-BE49-F238E27FC236}">
              <a16:creationId xmlns:a16="http://schemas.microsoft.com/office/drawing/2014/main" id="{5031A573-6B87-CBA3-426A-76F2231258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757" t="-2989"/>
        <a:stretch/>
      </xdr:blipFill>
      <xdr:spPr bwMode="auto">
        <a:xfrm>
          <a:off x="10160000" y="243417"/>
          <a:ext cx="1195917" cy="117861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6:M50"/>
  <sheetViews>
    <sheetView showGridLines="0" tabSelected="1" topLeftCell="A22" zoomScale="90" zoomScaleNormal="90" zoomScaleSheetLayoutView="100" workbookViewId="0">
      <selection activeCell="B26" sqref="B26:H26"/>
    </sheetView>
  </sheetViews>
  <sheetFormatPr baseColWidth="10" defaultColWidth="11.44140625" defaultRowHeight="14.4" x14ac:dyDescent="0.3"/>
  <cols>
    <col min="1" max="1" width="2.33203125" customWidth="1"/>
    <col min="2" max="2" width="21.44140625" customWidth="1"/>
    <col min="3" max="3" width="15.6640625" customWidth="1"/>
    <col min="4" max="4" width="23.109375" customWidth="1"/>
    <col min="5" max="5" width="21.44140625" customWidth="1"/>
    <col min="6" max="6" width="34.33203125" customWidth="1"/>
    <col min="7" max="7" width="19.44140625" customWidth="1"/>
    <col min="8" max="8" width="35.88671875" customWidth="1"/>
    <col min="9" max="9" width="2.33203125" customWidth="1"/>
    <col min="10" max="10" width="17.88671875" customWidth="1"/>
    <col min="11" max="11" width="23.88671875" customWidth="1"/>
    <col min="13" max="13" width="2.109375" bestFit="1" customWidth="1"/>
  </cols>
  <sheetData>
    <row r="6" spans="2:11" ht="8.25" customHeight="1" x14ac:dyDescent="0.3"/>
    <row r="7" spans="2:11" ht="8.25" customHeight="1" x14ac:dyDescent="0.3"/>
    <row r="8" spans="2:11" ht="8.25" customHeight="1" x14ac:dyDescent="0.3"/>
    <row r="9" spans="2:11" ht="18.600000000000001" customHeight="1" x14ac:dyDescent="0.3"/>
    <row r="10" spans="2:11" ht="28.35" customHeight="1" x14ac:dyDescent="0.3"/>
    <row r="11" spans="2:11" ht="44.4" customHeight="1" x14ac:dyDescent="0.3">
      <c r="B11" s="94" t="s">
        <v>0</v>
      </c>
      <c r="C11" s="94"/>
      <c r="D11" s="94"/>
      <c r="E11" s="94"/>
      <c r="F11" s="94"/>
      <c r="G11" s="94"/>
      <c r="H11" s="94"/>
    </row>
    <row r="12" spans="2:11" ht="36.6" customHeight="1" x14ac:dyDescent="0.3">
      <c r="B12" s="23" t="s">
        <v>1</v>
      </c>
      <c r="C12" s="61" t="s">
        <v>2</v>
      </c>
      <c r="D12" s="62"/>
      <c r="E12" s="62"/>
      <c r="F12" s="62"/>
      <c r="G12" s="62"/>
      <c r="H12" s="63"/>
      <c r="K12" s="41"/>
    </row>
    <row r="13" spans="2:11" ht="28.5" customHeight="1" x14ac:dyDescent="0.3">
      <c r="B13" s="24" t="s">
        <v>3</v>
      </c>
      <c r="C13" s="58" t="s">
        <v>47</v>
      </c>
      <c r="D13" s="59"/>
      <c r="E13" s="59"/>
      <c r="F13" s="59"/>
      <c r="G13" s="59"/>
      <c r="H13" s="60"/>
      <c r="K13" s="42"/>
    </row>
    <row r="14" spans="2:11" ht="39.75" customHeight="1" x14ac:dyDescent="0.3">
      <c r="B14" s="97" t="s">
        <v>4</v>
      </c>
      <c r="C14" s="97"/>
      <c r="D14" s="97"/>
      <c r="E14" s="97"/>
      <c r="F14" s="97"/>
      <c r="G14" s="97"/>
      <c r="H14" s="97"/>
      <c r="K14" s="42"/>
    </row>
    <row r="15" spans="2:11" ht="21.75" customHeight="1" x14ac:dyDescent="0.35">
      <c r="B15" s="98" t="s">
        <v>5</v>
      </c>
      <c r="C15" s="98"/>
      <c r="D15" s="98"/>
      <c r="E15" s="98"/>
      <c r="F15" s="98"/>
      <c r="G15" s="98"/>
      <c r="H15" s="98"/>
      <c r="K15" s="42"/>
    </row>
    <row r="16" spans="2:11" ht="18.600000000000001" thickBot="1" x14ac:dyDescent="0.35">
      <c r="B16" s="99" t="s">
        <v>6</v>
      </c>
      <c r="C16" s="100"/>
      <c r="D16" s="100"/>
      <c r="E16" s="100"/>
      <c r="F16" s="100"/>
      <c r="G16" s="100"/>
      <c r="H16" s="22" t="s">
        <v>7</v>
      </c>
      <c r="K16" s="42"/>
    </row>
    <row r="17" spans="2:11" ht="56.4" customHeight="1" thickBot="1" x14ac:dyDescent="0.35">
      <c r="B17" s="13">
        <v>1</v>
      </c>
      <c r="C17" s="51" t="s">
        <v>8</v>
      </c>
      <c r="D17" s="52"/>
      <c r="E17" s="52"/>
      <c r="F17" s="53"/>
      <c r="G17" s="14" t="s">
        <v>44</v>
      </c>
      <c r="H17" s="15" t="str">
        <f>IF(G17&gt;0,IF(G17="SI","PERTINENTE",IF(G17="NO","NO PERTINENTE","NO APLICA"))," ")</f>
        <v>PERTINENTE</v>
      </c>
      <c r="K17" s="42"/>
    </row>
    <row r="18" spans="2:11" ht="21" customHeight="1" thickBot="1" x14ac:dyDescent="0.35">
      <c r="B18" s="17">
        <v>2</v>
      </c>
      <c r="C18" s="55" t="s">
        <v>9</v>
      </c>
      <c r="D18" s="56"/>
      <c r="E18" s="56"/>
      <c r="F18" s="57"/>
      <c r="G18" s="16" t="s">
        <v>44</v>
      </c>
      <c r="H18" s="18" t="str">
        <f t="shared" ref="H18:H20" si="0">IF(G18&gt;0,IF(G18="SI","PERTINENTE",IF(G18="NO","NO PERTINENTE","NO APLICA"))," ")</f>
        <v>PERTINENTE</v>
      </c>
      <c r="K18" s="42"/>
    </row>
    <row r="19" spans="2:11" ht="42.6" customHeight="1" thickBot="1" x14ac:dyDescent="0.35">
      <c r="B19" s="13">
        <v>3</v>
      </c>
      <c r="C19" s="51" t="s">
        <v>10</v>
      </c>
      <c r="D19" s="52"/>
      <c r="E19" s="52"/>
      <c r="F19" s="53"/>
      <c r="G19" s="14" t="s">
        <v>44</v>
      </c>
      <c r="H19" s="15" t="str">
        <f t="shared" si="0"/>
        <v>PERTINENTE</v>
      </c>
      <c r="K19" s="42"/>
    </row>
    <row r="20" spans="2:11" s="3" customFormat="1" ht="35.4" customHeight="1" thickBot="1" x14ac:dyDescent="0.35">
      <c r="B20" s="17">
        <v>4</v>
      </c>
      <c r="C20" s="55" t="s">
        <v>11</v>
      </c>
      <c r="D20" s="56"/>
      <c r="E20" s="56"/>
      <c r="F20" s="57"/>
      <c r="G20" s="16" t="s">
        <v>44</v>
      </c>
      <c r="H20" s="18" t="str">
        <f t="shared" si="0"/>
        <v>PERTINENTE</v>
      </c>
      <c r="K20" s="42"/>
    </row>
    <row r="21" spans="2:11" ht="53.4" customHeight="1" thickBot="1" x14ac:dyDescent="0.35">
      <c r="B21" s="13">
        <v>5</v>
      </c>
      <c r="C21" s="51" t="s">
        <v>12</v>
      </c>
      <c r="D21" s="52"/>
      <c r="E21" s="52"/>
      <c r="F21" s="53"/>
      <c r="G21" s="14" t="s">
        <v>44</v>
      </c>
      <c r="H21" s="15" t="str">
        <f>IF(G21&gt;0,IF(G21="SI","PERTINENTE",IF(G21="NO","NO PERTINENTE","NO APLICA"))," ")</f>
        <v>PERTINENTE</v>
      </c>
      <c r="K21" s="42"/>
    </row>
    <row r="22" spans="2:11" ht="53.4" customHeight="1" thickBot="1" x14ac:dyDescent="0.35">
      <c r="B22" s="17">
        <v>6</v>
      </c>
      <c r="C22" s="55" t="s">
        <v>13</v>
      </c>
      <c r="D22" s="56"/>
      <c r="E22" s="56"/>
      <c r="F22" s="57"/>
      <c r="G22" s="16" t="s">
        <v>44</v>
      </c>
      <c r="H22" s="18" t="str">
        <f>IF(G22&gt;0,IF(G22="SI","PERTINENTE",IF(G22="NO","NO PERTINENTE","NO APLICA"))," ")</f>
        <v>PERTINENTE</v>
      </c>
      <c r="K22" s="42"/>
    </row>
    <row r="23" spans="2:11" ht="46.5" customHeight="1" thickBot="1" x14ac:dyDescent="0.35">
      <c r="B23" s="13">
        <v>7</v>
      </c>
      <c r="C23" s="51" t="s">
        <v>14</v>
      </c>
      <c r="D23" s="52"/>
      <c r="E23" s="52"/>
      <c r="F23" s="53"/>
      <c r="G23" s="14" t="s">
        <v>44</v>
      </c>
      <c r="H23" s="15" t="str">
        <f>IF(G23&gt;0,IF(G23="SI","PERTINENTE",IF(G23="NO","NO PERTINENTE","PERTINENTE"))," ")</f>
        <v>PERTINENTE</v>
      </c>
      <c r="J23" s="12"/>
      <c r="K23" s="42"/>
    </row>
    <row r="24" spans="2:11" ht="46.5" customHeight="1" thickBot="1" x14ac:dyDescent="0.35">
      <c r="B24" s="19">
        <v>8</v>
      </c>
      <c r="C24" s="64" t="s">
        <v>15</v>
      </c>
      <c r="D24" s="65"/>
      <c r="E24" s="65"/>
      <c r="F24" s="66"/>
      <c r="G24" s="20" t="s">
        <v>44</v>
      </c>
      <c r="H24" s="21" t="str">
        <f>IF(G24&gt;0,IF(G24="SI","PERTINENTE",IF(G24="NO","NO PERTINENTE","PERTINENTE"))," ")</f>
        <v>PERTINENTE</v>
      </c>
      <c r="J24" s="12"/>
      <c r="K24" s="42"/>
    </row>
    <row r="25" spans="2:11" ht="84" customHeight="1" thickBot="1" x14ac:dyDescent="0.35">
      <c r="B25" s="19">
        <v>9</v>
      </c>
      <c r="C25" s="64" t="s">
        <v>16</v>
      </c>
      <c r="D25" s="65"/>
      <c r="E25" s="65"/>
      <c r="F25" s="66"/>
      <c r="G25" s="25" t="s">
        <v>44</v>
      </c>
      <c r="H25" s="34" t="s">
        <v>17</v>
      </c>
      <c r="J25" s="12"/>
      <c r="K25" s="42"/>
    </row>
    <row r="26" spans="2:11" ht="41.1" customHeight="1" thickBot="1" x14ac:dyDescent="0.35">
      <c r="B26" s="54" t="s">
        <v>18</v>
      </c>
      <c r="C26" s="54"/>
      <c r="D26" s="54"/>
      <c r="E26" s="54"/>
      <c r="F26" s="54"/>
      <c r="G26" s="54"/>
      <c r="H26" s="54"/>
      <c r="K26" s="2"/>
    </row>
    <row r="27" spans="2:11" ht="30" customHeight="1" x14ac:dyDescent="0.3">
      <c r="B27" s="78" t="s">
        <v>19</v>
      </c>
      <c r="C27" s="79"/>
      <c r="D27" s="80"/>
      <c r="E27" s="25">
        <v>5000000000</v>
      </c>
      <c r="F27" s="81"/>
      <c r="G27" s="82"/>
      <c r="H27" s="71" t="s">
        <v>20</v>
      </c>
      <c r="K27" s="2">
        <f>GESTEP(E28,J28)</f>
        <v>1</v>
      </c>
    </row>
    <row r="28" spans="2:11" ht="39" customHeight="1" x14ac:dyDescent="0.3">
      <c r="B28" s="75" t="s">
        <v>21</v>
      </c>
      <c r="C28" s="76"/>
      <c r="D28" s="77"/>
      <c r="E28" s="26">
        <v>3000000000</v>
      </c>
      <c r="F28" s="35" t="s">
        <v>22</v>
      </c>
      <c r="G28" s="9" t="str">
        <f>IF($E$28&gt;0,IF(E28&gt;3000000000,"NO PERTINENTE","PERTINENTE")," ")</f>
        <v>PERTINENTE</v>
      </c>
      <c r="H28" s="72"/>
      <c r="J28" s="33"/>
      <c r="K28" s="2">
        <f>GESTEP(E28,J27)</f>
        <v>1</v>
      </c>
    </row>
    <row r="29" spans="2:11" ht="48" customHeight="1" thickBot="1" x14ac:dyDescent="0.35">
      <c r="B29" s="84" t="s">
        <v>23</v>
      </c>
      <c r="C29" s="101"/>
      <c r="D29" s="102"/>
      <c r="E29" s="27">
        <f>IF(E28&gt;0,(E28/E27)," ")</f>
        <v>0.6</v>
      </c>
      <c r="F29" s="36" t="s">
        <v>24</v>
      </c>
      <c r="G29" s="10" t="str">
        <f>IF($E$28&gt;0,IF($E$29&gt;60%,"NO PERTINENTE","PERTINENTE")," ")</f>
        <v>PERTINENTE</v>
      </c>
      <c r="H29" s="72"/>
      <c r="J29" s="4"/>
      <c r="K29" s="2">
        <f>COUNTIF(G28:G29,"NO PERTINENTE")</f>
        <v>0</v>
      </c>
    </row>
    <row r="30" spans="2:11" ht="95.25" customHeight="1" x14ac:dyDescent="0.3">
      <c r="B30" s="78" t="s">
        <v>25</v>
      </c>
      <c r="C30" s="79"/>
      <c r="D30" s="80"/>
      <c r="E30" s="28">
        <v>2000000000</v>
      </c>
      <c r="F30" s="87" t="s">
        <v>26</v>
      </c>
      <c r="G30" s="88"/>
      <c r="H30" s="73"/>
      <c r="J30" s="4"/>
      <c r="K30" s="2"/>
    </row>
    <row r="31" spans="2:11" ht="48" customHeight="1" x14ac:dyDescent="0.3">
      <c r="B31" s="48" t="s">
        <v>27</v>
      </c>
      <c r="C31" s="49"/>
      <c r="D31" s="50"/>
      <c r="E31" s="29">
        <f>IF(E28&gt;0,E30/E27," ")</f>
        <v>0.4</v>
      </c>
      <c r="F31" s="37" t="s">
        <v>28</v>
      </c>
      <c r="G31" s="9" t="str">
        <f>IF($E$28&gt;0,IF($E$31&lt;40%,"NO PERTINENTE","PERTINENTE")," ")</f>
        <v>PERTINENTE</v>
      </c>
      <c r="H31" s="73"/>
      <c r="J31" s="4"/>
      <c r="K31" s="2"/>
    </row>
    <row r="32" spans="2:11" ht="48" customHeight="1" x14ac:dyDescent="0.3">
      <c r="B32" s="43" t="s">
        <v>29</v>
      </c>
      <c r="C32" s="44"/>
      <c r="D32" s="45"/>
      <c r="E32" s="26">
        <v>1045000000</v>
      </c>
      <c r="F32" s="46"/>
      <c r="G32" s="47"/>
      <c r="H32" s="73"/>
      <c r="J32" s="4"/>
      <c r="K32" s="2"/>
    </row>
    <row r="33" spans="2:13" ht="55.5" customHeight="1" thickBot="1" x14ac:dyDescent="0.35">
      <c r="B33" s="67" t="s">
        <v>30</v>
      </c>
      <c r="C33" s="68"/>
      <c r="D33" s="69"/>
      <c r="E33" s="30">
        <f>IF(E28&gt;0,E32/E27," ")</f>
        <v>0.20899999999999999</v>
      </c>
      <c r="F33" s="38" t="s">
        <v>31</v>
      </c>
      <c r="G33" s="11" t="str">
        <f>IF($E$28&gt;0,IF($E$33&lt;20%,"NO PERTINENTE","PERTINENTE")," ")</f>
        <v>PERTINENTE</v>
      </c>
      <c r="H33" s="73"/>
      <c r="J33" s="4"/>
      <c r="K33" s="2"/>
    </row>
    <row r="34" spans="2:13" ht="48" customHeight="1" x14ac:dyDescent="0.3">
      <c r="B34" s="83" t="s">
        <v>32</v>
      </c>
      <c r="C34" s="56"/>
      <c r="D34" s="56"/>
      <c r="E34" s="31">
        <v>585301000</v>
      </c>
      <c r="F34" s="95"/>
      <c r="G34" s="96"/>
      <c r="H34" s="73"/>
      <c r="J34" s="4"/>
      <c r="K34" s="2"/>
    </row>
    <row r="35" spans="2:13" ht="89.1" customHeight="1" thickBot="1" x14ac:dyDescent="0.35">
      <c r="B35" s="84" t="s">
        <v>33</v>
      </c>
      <c r="C35" s="85"/>
      <c r="D35" s="86"/>
      <c r="E35" s="30">
        <f>IF(E28&gt;0,E34/E28," ")</f>
        <v>0.19510033333333332</v>
      </c>
      <c r="F35" s="39" t="s">
        <v>34</v>
      </c>
      <c r="G35" s="10" t="str">
        <f>IF($E$28&gt;0,IF($E$35&gt;25%,"NO PERTINENTE","PERTINENTE")," ")</f>
        <v>PERTINENTE</v>
      </c>
      <c r="H35" s="73"/>
      <c r="J35" s="4"/>
      <c r="K35" s="2"/>
    </row>
    <row r="36" spans="2:13" ht="30.75" customHeight="1" x14ac:dyDescent="0.3">
      <c r="B36" s="78" t="s">
        <v>35</v>
      </c>
      <c r="C36" s="79"/>
      <c r="D36" s="80"/>
      <c r="E36" s="28">
        <v>75000000</v>
      </c>
      <c r="F36" s="81"/>
      <c r="G36" s="82"/>
      <c r="H36" s="72"/>
      <c r="K36" s="2"/>
    </row>
    <row r="37" spans="2:13" ht="74.25" customHeight="1" thickBot="1" x14ac:dyDescent="0.35">
      <c r="B37" s="67" t="s">
        <v>36</v>
      </c>
      <c r="C37" s="68"/>
      <c r="D37" s="69"/>
      <c r="E37" s="30">
        <f>IF(E28&gt;0,E36/E28," ")</f>
        <v>2.5000000000000001E-2</v>
      </c>
      <c r="F37" s="38" t="s">
        <v>37</v>
      </c>
      <c r="G37" s="11" t="str">
        <f>IF($E$28&gt;0,IF($E$37&gt;30%,"NO PERTINENTE","PERTINENTE")," ")</f>
        <v>PERTINENTE</v>
      </c>
      <c r="H37" s="72"/>
      <c r="J37" s="5"/>
      <c r="K37" s="2"/>
    </row>
    <row r="38" spans="2:13" ht="31.5" customHeight="1" x14ac:dyDescent="0.3">
      <c r="B38" s="89" t="s">
        <v>38</v>
      </c>
      <c r="C38" s="90"/>
      <c r="D38" s="91"/>
      <c r="E38" s="32">
        <v>300000000</v>
      </c>
      <c r="F38" s="92">
        <f>+$E$28-E38</f>
        <v>2700000000</v>
      </c>
      <c r="G38" s="93"/>
      <c r="H38" s="72"/>
      <c r="K38" s="2">
        <f>COUNTIF(G33,"NO PERTINENTE")</f>
        <v>0</v>
      </c>
    </row>
    <row r="39" spans="2:13" ht="90.6" customHeight="1" thickBot="1" x14ac:dyDescent="0.35">
      <c r="B39" s="67" t="s">
        <v>39</v>
      </c>
      <c r="C39" s="68"/>
      <c r="D39" s="69"/>
      <c r="E39" s="30">
        <f>IF(E28&gt;0,E38/(E28)," ")</f>
        <v>0.1</v>
      </c>
      <c r="F39" s="40" t="s">
        <v>40</v>
      </c>
      <c r="G39" s="11" t="str">
        <f>IF($E$28&gt;0,IF($E$39&gt;10%,"NO PERTINENTE","PERTINENTE")," ")</f>
        <v>PERTINENTE</v>
      </c>
      <c r="H39" s="74"/>
      <c r="K39" s="2"/>
    </row>
    <row r="40" spans="2:13" ht="39" customHeight="1" x14ac:dyDescent="0.3">
      <c r="B40" s="70" t="s">
        <v>41</v>
      </c>
      <c r="C40" s="70"/>
      <c r="D40" s="70"/>
      <c r="E40" s="70"/>
      <c r="F40" s="70"/>
      <c r="G40" s="70"/>
      <c r="H40" s="70"/>
      <c r="K40" s="2">
        <f>COUNTIF(G39,"NO PERTINENTE")</f>
        <v>0</v>
      </c>
      <c r="M40">
        <f>COUNTIF(B17:H39,"NO PERTINENTE")</f>
        <v>0</v>
      </c>
    </row>
    <row r="41" spans="2:13" ht="12" customHeight="1" x14ac:dyDescent="0.3">
      <c r="B41" s="8"/>
      <c r="C41" s="8"/>
      <c r="D41" s="8"/>
      <c r="E41" s="8"/>
      <c r="F41" s="8"/>
      <c r="G41" s="8"/>
      <c r="H41" s="7"/>
      <c r="I41" s="6"/>
      <c r="K41" s="2"/>
    </row>
    <row r="50" spans="2:2" x14ac:dyDescent="0.3">
      <c r="B50" s="3"/>
    </row>
  </sheetData>
  <mergeCells count="38">
    <mergeCell ref="B11:H11"/>
    <mergeCell ref="F34:G34"/>
    <mergeCell ref="B14:H14"/>
    <mergeCell ref="B15:H15"/>
    <mergeCell ref="B16:G16"/>
    <mergeCell ref="C25:F25"/>
    <mergeCell ref="B33:D33"/>
    <mergeCell ref="B27:D27"/>
    <mergeCell ref="F27:G27"/>
    <mergeCell ref="B29:D29"/>
    <mergeCell ref="B39:D39"/>
    <mergeCell ref="B40:H40"/>
    <mergeCell ref="H27:H39"/>
    <mergeCell ref="B28:D28"/>
    <mergeCell ref="B36:D36"/>
    <mergeCell ref="F36:G36"/>
    <mergeCell ref="B34:D34"/>
    <mergeCell ref="B35:D35"/>
    <mergeCell ref="B37:D37"/>
    <mergeCell ref="B30:D30"/>
    <mergeCell ref="F30:G30"/>
    <mergeCell ref="B38:D38"/>
    <mergeCell ref="F38:G38"/>
    <mergeCell ref="K12:K25"/>
    <mergeCell ref="B32:D32"/>
    <mergeCell ref="F32:G32"/>
    <mergeCell ref="B31:D31"/>
    <mergeCell ref="C21:F21"/>
    <mergeCell ref="C23:F23"/>
    <mergeCell ref="B26:H26"/>
    <mergeCell ref="C17:F17"/>
    <mergeCell ref="C18:F18"/>
    <mergeCell ref="C19:F19"/>
    <mergeCell ref="C20:F20"/>
    <mergeCell ref="C13:H13"/>
    <mergeCell ref="C12:H12"/>
    <mergeCell ref="C22:F22"/>
    <mergeCell ref="C24:F24"/>
  </mergeCells>
  <conditionalFormatting sqref="G28:G29 G31 G33 G35 G37 G39">
    <cfRule type="cellIs" dxfId="1" priority="4" stopIfTrue="1" operator="equal">
      <formula>"NO PERTINENTE"</formula>
    </cfRule>
  </conditionalFormatting>
  <conditionalFormatting sqref="H17:H25">
    <cfRule type="cellIs" dxfId="0" priority="1" stopIfTrue="1" operator="equal">
      <formula>"NO PERTINENTE"</formula>
    </cfRule>
  </conditionalFormatting>
  <dataValidations count="2">
    <dataValidation operator="greaterThan" allowBlank="1" showInputMessage="1" showErrorMessage="1" error="INGRESAR PRESUPUESTO EN PESOS" sqref="E38 E36 E30 E32" xr:uid="{00000000-0002-0000-0000-000000000000}"/>
    <dataValidation type="list" allowBlank="1" showInputMessage="1" showErrorMessage="1" sqref="G17:G24" xr:uid="{00000000-0002-0000-0000-000001000000}">
      <formula1>SI_NO</formula1>
    </dataValidation>
  </dataValidations>
  <printOptions horizontalCentered="1" verticalCentered="1"/>
  <pageMargins left="0.23622047244094491" right="0.31496062992125984" top="0.35433070866141736" bottom="0.35433070866141736" header="0.31496062992125984" footer="0.31496062992125984"/>
  <pageSetup scale="67" orientation="portrait" r:id="rId1"/>
  <ignoredErrors>
    <ignoredError sqref="H23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sqref="A1:B4"/>
    </sheetView>
  </sheetViews>
  <sheetFormatPr baseColWidth="10" defaultColWidth="11.44140625" defaultRowHeight="14.4" x14ac:dyDescent="0.3"/>
  <sheetData>
    <row r="1" spans="1:2" x14ac:dyDescent="0.3">
      <c r="A1" s="1" t="s">
        <v>42</v>
      </c>
      <c r="B1" s="1" t="s">
        <v>43</v>
      </c>
    </row>
    <row r="2" spans="1:2" x14ac:dyDescent="0.3">
      <c r="A2" t="s">
        <v>44</v>
      </c>
      <c r="B2" t="s">
        <v>44</v>
      </c>
    </row>
    <row r="3" spans="1:2" x14ac:dyDescent="0.3">
      <c r="A3" t="s">
        <v>45</v>
      </c>
      <c r="B3" t="s">
        <v>45</v>
      </c>
    </row>
    <row r="4" spans="1:2" x14ac:dyDescent="0.3">
      <c r="A4" t="s">
        <v>46</v>
      </c>
      <c r="B4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6BFEFFE29EE246826F91327FCD8857" ma:contentTypeVersion="20" ma:contentTypeDescription="Crear nuevo documento." ma:contentTypeScope="" ma:versionID="1db7a95efb30a934ea973c33cb21fb50">
  <xsd:schema xmlns:xsd="http://www.w3.org/2001/XMLSchema" xmlns:xs="http://www.w3.org/2001/XMLSchema" xmlns:p="http://schemas.microsoft.com/office/2006/metadata/properties" xmlns:ns2="ab17656e-5105-4cbc-b8b0-43fa54a4243d" xmlns:ns3="ec9f3c89-cf8c-462b-a4b9-de527510704b" targetNamespace="http://schemas.microsoft.com/office/2006/metadata/properties" ma:root="true" ma:fieldsID="eff7919c63c5d7b5d57eb89b44404a19" ns2:_="" ns3:_="">
    <xsd:import namespace="ab17656e-5105-4cbc-b8b0-43fa54a4243d"/>
    <xsd:import namespace="ec9f3c89-cf8c-462b-a4b9-de527510704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Observ" minOccurs="0"/>
                <xsd:element ref="ns3:estado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17656e-5105-4cbc-b8b0-43fa54a4243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89cb650-9cd7-4a8c-93c3-627fc3f8335d}" ma:internalName="TaxCatchAll" ma:showField="CatchAllData" ma:web="ab17656e-5105-4cbc-b8b0-43fa54a42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9f3c89-cf8c-462b-a4b9-de52751070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930227d-965d-4741-b43f-4ac5cbdeb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bserv" ma:index="24" nillable="true" ma:displayName="Observ" ma:format="Dropdown" ma:indexed="true" ma:internalName="Observ">
      <xsd:simpleType>
        <xsd:restriction base="dms:Text">
          <xsd:maxLength value="255"/>
        </xsd:restriction>
      </xsd:simpleType>
    </xsd:element>
    <xsd:element name="estado" ma:index="25" nillable="true" ma:displayName="estado" ma:format="Dropdown" ma:internalName="estado">
      <xsd:simpleType>
        <xsd:restriction base="dms:Text">
          <xsd:maxLength value="255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bserv xmlns="ec9f3c89-cf8c-462b-a4b9-de527510704b">ok</Observ>
    <lcf76f155ced4ddcb4097134ff3c332f xmlns="ec9f3c89-cf8c-462b-a4b9-de527510704b">
      <Terms xmlns="http://schemas.microsoft.com/office/infopath/2007/PartnerControls"/>
    </lcf76f155ced4ddcb4097134ff3c332f>
    <TaxCatchAll xmlns="ab17656e-5105-4cbc-b8b0-43fa54a4243d" xsi:nil="true"/>
    <estado xmlns="ec9f3c89-cf8c-462b-a4b9-de527510704b">Revisado HMV</estado>
  </documentManagement>
</p:properties>
</file>

<file path=customXml/itemProps1.xml><?xml version="1.0" encoding="utf-8"?>
<ds:datastoreItem xmlns:ds="http://schemas.openxmlformats.org/officeDocument/2006/customXml" ds:itemID="{9C8AE075-F4CC-4404-8AD0-A5948881FE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17656e-5105-4cbc-b8b0-43fa54a4243d"/>
    <ds:schemaRef ds:uri="ec9f3c89-cf8c-462b-a4b9-de52751070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50918E-B9FB-4FCA-8359-B41EB4764D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6DD3D1-3DED-4CCE-A362-9A6B097285C9}">
  <ds:schemaRefs>
    <ds:schemaRef ds:uri="http://purl.org/dc/terms/"/>
    <ds:schemaRef ds:uri="http://schemas.microsoft.com/office/2006/metadata/properties"/>
    <ds:schemaRef ds:uri="http://purl.org/dc/elements/1.1/"/>
    <ds:schemaRef ds:uri="http://purl.org/dc/dcmitype/"/>
    <ds:schemaRef ds:uri="http://schemas.openxmlformats.org/package/2006/metadata/core-properties"/>
    <ds:schemaRef ds:uri="ec9f3c89-cf8c-462b-a4b9-de527510704b"/>
    <ds:schemaRef ds:uri="http://schemas.microsoft.com/office/infopath/2007/PartnerControls"/>
    <ds:schemaRef ds:uri="http://schemas.microsoft.com/office/2006/documentManagement/types"/>
    <ds:schemaRef ds:uri="ab17656e-5105-4cbc-b8b0-43fa54a4243d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PROGRAMA TECNOLOGICOS</vt:lpstr>
      <vt:lpstr>Lista</vt:lpstr>
      <vt:lpstr>'PROGRAMA TECNOLOGICOS'!Área_de_impresión</vt:lpstr>
      <vt:lpstr>OPCIONES</vt:lpstr>
      <vt:lpstr>SI</vt:lpstr>
      <vt:lpstr>SI_NO</vt:lpstr>
    </vt:vector>
  </TitlesOfParts>
  <Manager/>
  <Company>Corporacion de Fomento de la Produccion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Dirección Programas Tecnológicos</dc:creator>
  <cp:keywords/>
  <dc:description/>
  <cp:lastModifiedBy>Claudia Gotschlich Stoffel</cp:lastModifiedBy>
  <cp:revision/>
  <dcterms:created xsi:type="dcterms:W3CDTF">2011-05-31T16:18:26Z</dcterms:created>
  <dcterms:modified xsi:type="dcterms:W3CDTF">2026-09-29T03:07:18Z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0x010100DA6BFEFFE29EE246826F91327FCD8857</vt:lpwstr>
  </property>
  <property fmtid="{D5CDD505-2E9C-101B-9397-08002B2CF9AE}" pid="3" name="MediaServiceImageTags">
    <vt:lpwstr/>
  </property>
</Properties>
</file>